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Flow Semua Modul" sheetId="2" state="visible" r:id="rId2"/>
    <sheet xmlns:r="http://schemas.openxmlformats.org/officeDocument/2006/relationships" name="Daftar Video Modul" sheetId="3" state="visible" r:id="rId3"/>
    <sheet xmlns:r="http://schemas.openxmlformats.org/officeDocument/2006/relationships" name="Flow per Modul" sheetId="4" state="visible" r:id="rId4"/>
    <sheet xmlns:r="http://schemas.openxmlformats.org/officeDocument/2006/relationships" name="Video Pendek 5-10-15" sheetId="5" state="visible" r:id="rId5"/>
    <sheet xmlns:r="http://schemas.openxmlformats.org/officeDocument/2006/relationships" name="Rancangan Ads Meme" sheetId="6" state="visible" r:id="rId6"/>
    <sheet xmlns:r="http://schemas.openxmlformats.org/officeDocument/2006/relationships" name="Screenshot per Modul" sheetId="7" state="visible" r:id="rId7"/>
    <sheet xmlns:r="http://schemas.openxmlformats.org/officeDocument/2006/relationships" name="Bank Sound Meme" sheetId="8" state="visible" r:id="rId8"/>
    <sheet xmlns:r="http://schemas.openxmlformats.org/officeDocument/2006/relationships" name="Efek VO" sheetId="9" state="visible" r:id="rId9"/>
    <sheet xmlns:r="http://schemas.openxmlformats.org/officeDocument/2006/relationships" name="Opsi TTS" sheetId="10" state="visible" r:id="rId10"/>
    <sheet xmlns:r="http://schemas.openxmlformats.org/officeDocument/2006/relationships" name="Kalender Tayang" sheetId="11" state="visible" r:id="rId11"/>
    <sheet xmlns:r="http://schemas.openxmlformats.org/officeDocument/2006/relationships" name="Metodologi Skor" sheetId="12" state="visible" r:id="rId12"/>
  </sheets>
  <definedNames>
    <definedName name="W_AW">'Metodologi Skor'!$C$5</definedName>
    <definedName name="W_CV">'Metodologi Skor'!$C$6</definedName>
    <definedName name="W_SH">'Metodologi Skor'!$C$7</definedName>
    <definedName name="_xlnm._FilterDatabase" localSheetId="1" hidden="1">'Flow Semua Modul'!$A$4:$J$33</definedName>
    <definedName name="_xlnm._FilterDatabase" localSheetId="2" hidden="1">'Daftar Video Modul'!$A$4:$M$26</definedName>
    <definedName name="_xlnm._FilterDatabase" localSheetId="4" hidden="1">'Video Pendek 5-10-15'!$A$4:$M$36</definedName>
    <definedName name="_xlnm._FilterDatabase" localSheetId="5" hidden="1">'Rancangan Ads Meme'!$A$1:$Z$49</definedName>
    <definedName name="_xlnm._FilterDatabase" localSheetId="6" hidden="1">'Screenshot per Modul'!$A$4:$F$82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B1B4D"/>
      <sz val="16"/>
    </font>
    <font>
      <b val="1"/>
      <color rgb="00FFFFFF"/>
      <sz val="11"/>
    </font>
    <font>
      <b val="1"/>
      <color rgb="000B1B4D"/>
    </font>
    <font>
      <b val="1"/>
      <color rgb="000B1B4D"/>
      <sz val="12"/>
    </font>
    <font>
      <b val="1"/>
      <color rgb="002F6BFF"/>
      <u val="single"/>
    </font>
    <font>
      <color rgb="002F6BFF"/>
      <u val="single"/>
    </font>
    <font>
      <b val="1"/>
      <color rgb="002F6BFF"/>
    </font>
    <font>
      <b val="1"/>
    </font>
    <font>
      <b val="1"/>
      <color rgb="000B1B4D"/>
      <sz val="18"/>
    </font>
  </fonts>
  <fills count="11">
    <fill>
      <patternFill/>
    </fill>
    <fill>
      <patternFill patternType="gray125"/>
    </fill>
    <fill>
      <patternFill patternType="solid">
        <fgColor rgb="000B1B4D"/>
      </patternFill>
    </fill>
    <fill>
      <patternFill patternType="solid">
        <fgColor rgb="00FFF3C4"/>
      </patternFill>
    </fill>
    <fill>
      <patternFill patternType="solid">
        <fgColor rgb="00FAFBFD"/>
      </patternFill>
    </fill>
    <fill>
      <patternFill patternType="solid">
        <fgColor rgb="00E3F2FF"/>
      </patternFill>
    </fill>
    <fill>
      <patternFill patternType="solid">
        <fgColor rgb="00DCE6FF"/>
      </patternFill>
    </fill>
    <fill>
      <patternFill patternType="solid">
        <fgColor rgb="00FDE2E2"/>
      </patternFill>
    </fill>
    <fill>
      <patternFill patternType="solid">
        <fgColor rgb="00E6F6EC"/>
      </patternFill>
    </fill>
    <fill>
      <patternFill patternType="solid">
        <fgColor rgb="00FFF4D6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  <border>
      <left/>
      <right/>
      <top style="thin">
        <color rgb="00D5DBE7"/>
      </top>
      <bottom/>
      <diagonal/>
    </border>
    <border>
      <left/>
      <right style="thin">
        <color rgb="00D5DBE7"/>
      </right>
      <top style="thin">
        <color rgb="00D5DBE7"/>
      </top>
      <bottom/>
      <diagonal/>
    </border>
    <border>
      <left/>
      <right/>
      <top style="thin">
        <color rgb="00D5DBE7"/>
      </top>
      <bottom style="thin">
        <color rgb="00D5DBE7"/>
      </bottom>
      <diagonal/>
    </border>
    <border>
      <left/>
      <right style="thin">
        <color rgb="00D5DBE7"/>
      </right>
      <top style="thin">
        <color rgb="00D5DBE7"/>
      </top>
      <bottom style="thin">
        <color rgb="00D5DBE7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8" fillId="0" borderId="0" pivotButton="0" quotePrefix="0" xfId="0"/>
    <xf numFmtId="9" fontId="0" fillId="10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low Semua Modul'!A1" TargetMode="External" Id="rId1"/><Relationship Type="http://schemas.openxmlformats.org/officeDocument/2006/relationships/hyperlink" Target="#'Daftar Video Modul'!A1" TargetMode="External" Id="rId2"/><Relationship Type="http://schemas.openxmlformats.org/officeDocument/2006/relationships/hyperlink" Target="#'Flow per Modul'!A1" TargetMode="External" Id="rId3"/><Relationship Type="http://schemas.openxmlformats.org/officeDocument/2006/relationships/hyperlink" Target="#'Video Pendek 5-10-15'!A1" TargetMode="External" Id="rId4"/><Relationship Type="http://schemas.openxmlformats.org/officeDocument/2006/relationships/hyperlink" Target="#'Rancangan Ads Meme'!A1" TargetMode="External" Id="rId5"/><Relationship Type="http://schemas.openxmlformats.org/officeDocument/2006/relationships/hyperlink" Target="#'Screenshot per Modul'!A1" TargetMode="External" Id="rId6"/><Relationship Type="http://schemas.openxmlformats.org/officeDocument/2006/relationships/hyperlink" Target="#'Bank Sound Meme'!A1" TargetMode="External" Id="rId7"/><Relationship Type="http://schemas.openxmlformats.org/officeDocument/2006/relationships/hyperlink" Target="#'Efek VO'!A1" TargetMode="External" Id="rId8"/><Relationship Type="http://schemas.openxmlformats.org/officeDocument/2006/relationships/hyperlink" Target="#'Opsi TTS'!A1" TargetMode="External" Id="rId9"/><Relationship Type="http://schemas.openxmlformats.org/officeDocument/2006/relationships/hyperlink" Target="#'Kalender Tayang'!A1" TargetMode="External" Id="rId10"/><Relationship Type="http://schemas.openxmlformats.org/officeDocument/2006/relationships/hyperlink" Target="#'Metodologi Skor'!A1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#'Flow per Modul'!A5" TargetMode="External" Id="rId1"/><Relationship Type="http://schemas.openxmlformats.org/officeDocument/2006/relationships/hyperlink" Target="#'Flow per Modul'!A14" TargetMode="External" Id="rId2"/><Relationship Type="http://schemas.openxmlformats.org/officeDocument/2006/relationships/hyperlink" Target="#'Flow per Modul'!A24" TargetMode="External" Id="rId3"/><Relationship Type="http://schemas.openxmlformats.org/officeDocument/2006/relationships/hyperlink" Target="#'Flow per Modul'!A32" TargetMode="External" Id="rId4"/><Relationship Type="http://schemas.openxmlformats.org/officeDocument/2006/relationships/hyperlink" Target="#'Flow per Modul'!A43" TargetMode="External" Id="rId5"/><Relationship Type="http://schemas.openxmlformats.org/officeDocument/2006/relationships/hyperlink" Target="#'Flow per Modul'!A53" TargetMode="External" Id="rId6"/><Relationship Type="http://schemas.openxmlformats.org/officeDocument/2006/relationships/hyperlink" Target="#'Flow per Modul'!A60" TargetMode="External" Id="rId7"/><Relationship Type="http://schemas.openxmlformats.org/officeDocument/2006/relationships/hyperlink" Target="#'Flow per Modul'!A71" TargetMode="External" Id="rId8"/><Relationship Type="http://schemas.openxmlformats.org/officeDocument/2006/relationships/hyperlink" Target="#'Flow per Modul'!A81" TargetMode="External" Id="rId9"/><Relationship Type="http://schemas.openxmlformats.org/officeDocument/2006/relationships/hyperlink" Target="#'Flow per Modul'!A89" TargetMode="External" Id="rId10"/><Relationship Type="http://schemas.openxmlformats.org/officeDocument/2006/relationships/hyperlink" Target="#'Flow per Modul'!A96" TargetMode="External" Id="rId11"/><Relationship Type="http://schemas.openxmlformats.org/officeDocument/2006/relationships/hyperlink" Target="#'Flow per Modul'!A106" TargetMode="External" Id="rId12"/><Relationship Type="http://schemas.openxmlformats.org/officeDocument/2006/relationships/hyperlink" Target="#'Flow per Modul'!A114" TargetMode="External" Id="rId13"/><Relationship Type="http://schemas.openxmlformats.org/officeDocument/2006/relationships/hyperlink" Target="#'Flow per Modul'!A124" TargetMode="External" Id="rId14"/><Relationship Type="http://schemas.openxmlformats.org/officeDocument/2006/relationships/hyperlink" Target="#'Flow per Modul'!A132" TargetMode="External" Id="rId15"/><Relationship Type="http://schemas.openxmlformats.org/officeDocument/2006/relationships/hyperlink" Target="#'Flow per Modul'!A141" TargetMode="External" Id="rId16"/><Relationship Type="http://schemas.openxmlformats.org/officeDocument/2006/relationships/hyperlink" Target="#'Flow per Modul'!A150" TargetMode="External" Id="rId17"/><Relationship Type="http://schemas.openxmlformats.org/officeDocument/2006/relationships/hyperlink" Target="#'Flow per Modul'!A158" TargetMode="External" Id="rId18"/><Relationship Type="http://schemas.openxmlformats.org/officeDocument/2006/relationships/hyperlink" Target="#'Flow per Modul'!A165" TargetMode="External" Id="rId19"/><Relationship Type="http://schemas.openxmlformats.org/officeDocument/2006/relationships/hyperlink" Target="#'Flow per Modul'!A174" TargetMode="External" Id="rId20"/><Relationship Type="http://schemas.openxmlformats.org/officeDocument/2006/relationships/hyperlink" Target="#'Flow per Modul'!A182" TargetMode="External" Id="rId21"/><Relationship Type="http://schemas.openxmlformats.org/officeDocument/2006/relationships/hyperlink" Target="#'Flow per Modul'!A190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myinstants.com/en/instant/meme/" TargetMode="External" Id="rId1"/><Relationship Type="http://schemas.openxmlformats.org/officeDocument/2006/relationships/hyperlink" Target="https://www.myinstants.com/en/instant/faaah-63455/" TargetMode="External" Id="rId2"/><Relationship Type="http://schemas.openxmlformats.org/officeDocument/2006/relationships/hyperlink" Target="https://www.myinstants.com/en/instant/sad-violin-the-meme-one/" TargetMode="External" Id="rId3"/><Relationship Type="http://schemas.openxmlformats.org/officeDocument/2006/relationships/hyperlink" Target="https://www.myinstants.com/en/instant/among-us-role-reveal-sound-34956/" TargetMode="External" Id="rId4"/><Relationship Type="http://schemas.openxmlformats.org/officeDocument/2006/relationships/hyperlink" Target="https://www.myinstants.com/en/instant/error-soundss-25534/" TargetMode="External" Id="rId5"/><Relationship Type="http://schemas.openxmlformats.org/officeDocument/2006/relationships/hyperlink" Target="https://www.myinstants.com/en/instant/baby-laughing-meme-56428/" TargetMode="External" Id="rId6"/><Relationship Type="http://schemas.openxmlformats.org/officeDocument/2006/relationships/hyperlink" Target="https://www.myinstants.com/en/instant/punch-sound-86161/" TargetMode="External" Id="rId7"/><Relationship Type="http://schemas.openxmlformats.org/officeDocument/2006/relationships/hyperlink" Target="https://www.myinstants.com/en/instant/spiderman-meme-song-37638/" TargetMode="External" Id="rId8"/><Relationship Type="http://schemas.openxmlformats.org/officeDocument/2006/relationships/hyperlink" Target="https://www.myinstants.com/en/instant/instagram-thud-55328/" TargetMode="External" Id="rId9"/><Relationship Type="http://schemas.openxmlformats.org/officeDocument/2006/relationships/hyperlink" Target="https://www.myinstants.com/en/instant/shocked-sound-37548/" TargetMode="External" Id="rId10"/><Relationship Type="http://schemas.openxmlformats.org/officeDocument/2006/relationships/hyperlink" Target="https://www.myinstants.com/en/instant/dun-dun-dunnnnnnnn-68584/" TargetMode="External" Id="rId11"/><Relationship Type="http://schemas.openxmlformats.org/officeDocument/2006/relationships/hyperlink" Target="https://www.myinstants.com/en/instant/zvuk-fotoapparata-61186/" TargetMode="External" Id="rId12"/><Relationship Type="http://schemas.openxmlformats.org/officeDocument/2006/relationships/hyperlink" Target="https://www.myinstants.com/en/instant/death-sound-fortnite-13941/" TargetMode="External" Id="rId13"/><Relationship Type="http://schemas.openxmlformats.org/officeDocument/2006/relationships/hyperlink" Target="https://www.myinstants.com/en/instant/emotional-damage-meme-74555/" TargetMode="External" Id="rId14"/><Relationship Type="http://schemas.openxmlformats.org/officeDocument/2006/relationships/hyperlink" Target="https://www.myinstants.com/en/instant/cat-laugh-meme-1-15761/" TargetMode="External" Id="rId15"/><Relationship Type="http://schemas.openxmlformats.org/officeDocument/2006/relationships/hyperlink" Target="https://www.myinstants.com/en/instant/galaxy-meme-18643/" TargetMode="External" Id="rId16"/><Relationship Type="http://schemas.openxmlformats.org/officeDocument/2006/relationships/hyperlink" Target="https://www.myinstants.com/en/instant/fart-meme-sound-46799/" TargetMode="External" Id="rId17"/><Relationship Type="http://schemas.openxmlformats.org/officeDocument/2006/relationships/hyperlink" Target="https://www.myinstants.com/en/instant/meme-final-91448/" TargetMode="External" Id="rId18"/><Relationship Type="http://schemas.openxmlformats.org/officeDocument/2006/relationships/hyperlink" Target="https://www.myinstants.com/en/instant/run-vine/" TargetMode="External" Id="rId19"/><Relationship Type="http://schemas.openxmlformats.org/officeDocument/2006/relationships/hyperlink" Target="https://www.myinstants.com/en/instant/haha-funny-laugh-93061/" TargetMode="External" Id="rId20"/><Relationship Type="http://schemas.openxmlformats.org/officeDocument/2006/relationships/hyperlink" Target="https://www.myinstants.com/en/instant/dexter-meme-26140/" TargetMode="External" Id="rId21"/><Relationship Type="http://schemas.openxmlformats.org/officeDocument/2006/relationships/hyperlink" Target="https://www.myinstants.com/en/instant/999-social-credit-siren-82729/" TargetMode="External" Id="rId22"/><Relationship Type="http://schemas.openxmlformats.org/officeDocument/2006/relationships/hyperlink" Target="https://www.myinstants.com/en/instant/asian-meme-huh-49043/" TargetMode="External" Id="rId23"/><Relationship Type="http://schemas.openxmlformats.org/officeDocument/2006/relationships/hyperlink" Target="https://www.myinstants.com/en/instant/snore-mimimimimimi-76562/" TargetMode="External" Id="rId24"/><Relationship Type="http://schemas.openxmlformats.org/officeDocument/2006/relationships/hyperlink" Target="https://www.myinstants.com/en/instant/outro-song-77850/" TargetMode="External" Id="rId25"/><Relationship Type="http://schemas.openxmlformats.org/officeDocument/2006/relationships/hyperlink" Target="https://www.myinstants.com/en/instant/long-brain-fart-60967/" TargetMode="External" Id="rId26"/><Relationship Type="http://schemas.openxmlformats.org/officeDocument/2006/relationships/hyperlink" Target="https://www.myinstants.com/en/instant/oh-my-god-meme-88573/" TargetMode="External" Id="rId27"/><Relationship Type="http://schemas.openxmlformats.org/officeDocument/2006/relationships/hyperlink" Target="https://www.myinstants.com/en/instant/wide-putin-meme-6467/" TargetMode="External" Id="rId28"/><Relationship Type="http://schemas.openxmlformats.org/officeDocument/2006/relationships/hyperlink" Target="https://www.myinstants.com/en/instant/du-bist-gut-genug-22336/" TargetMode="External" Id="rId29"/><Relationship Type="http://schemas.openxmlformats.org/officeDocument/2006/relationships/hyperlink" Target="https://www.myinstants.com/en/instant/what-da-dog-doin-35890/" TargetMode="External" Id="rId30"/><Relationship Type="http://schemas.openxmlformats.org/officeDocument/2006/relationships/hyperlink" Target="https://www.myinstants.com/en/instant/meme-mp3-37545/" TargetMode="External" Id="rId31"/><Relationship Type="http://schemas.openxmlformats.org/officeDocument/2006/relationships/hyperlink" Target="https://www.myinstants.com/en/instant/wow-anime-meme-55752/" TargetMode="External" Id="rId32"/><Relationship Type="http://schemas.openxmlformats.org/officeDocument/2006/relationships/hyperlink" Target="https://www.myinstants.com/en/instant/french-meme-song-55813/" TargetMode="External" Id="rId33"/><Relationship Type="http://schemas.openxmlformats.org/officeDocument/2006/relationships/hyperlink" Target="https://www.myinstants.com/en/instant/fart-meme-sound-better-and-louder-32265/" TargetMode="External" Id="rId34"/><Relationship Type="http://schemas.openxmlformats.org/officeDocument/2006/relationships/hyperlink" Target="https://www.myinstants.com/en/instant/what-bottom-text-meme-sanctuary-guardian-s-24591/" TargetMode="External" Id="rId35"/><Relationship Type="http://schemas.openxmlformats.org/officeDocument/2006/relationships/hyperlink" Target="https://www.myinstants.com/en/instant/deja-vu-meme-13405/" TargetMode="External" Id="rId36"/></Relationships>
</file>

<file path=xl/worksheets/_rels/sheet10.xml.rels><Relationships xmlns="http://schemas.openxmlformats.org/package/2006/relationships"><Relationship Type="http://schemas.openxmlformats.org/officeDocument/2006/relationships/hyperlink" Target="https://elevenlabs.io/pricing" TargetMode="External" Id="rId1"/><Relationship Type="http://schemas.openxmlformats.org/officeDocument/2006/relationships/hyperlink" Target="https://docs.cloud.google.com/text-to-speech/docs/chirp3-hd" TargetMode="External" Id="rId2"/><Relationship Type="http://schemas.openxmlformats.org/officeDocument/2006/relationships/hyperlink" Target="https://gizmologi.id/aplikasi/prosa-ai-hadirkan-pembaruan-text-to-speech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46" customWidth="1" min="3" max="3"/>
    <col width="18" customWidth="1" min="4" max="4"/>
    <col width="9" customWidth="1" min="5" max="5"/>
    <col width="30" customWidth="1" min="6" max="6"/>
  </cols>
  <sheetData>
    <row r="1">
      <c r="A1" s="1" t="inlineStr">
        <is>
          <t>Rancangan Iklan &amp; Video Privasimu: Q4 2026 → PP 33 berlaku (16 Jan 2027)</t>
        </is>
      </c>
    </row>
    <row r="2" ht="46" customHeight="1">
      <c r="A2" s="2" t="inlineStr">
        <is>
          <t>Isi: 1 flow unggulan "semua modul" (± 3 menit, dengan versi 60 &amp; 30 dtk) · 22 video modul · 32 video pendek 5/10/15 dtk · 48 konsep iklan meme. Setiap video punya hook (reverse psychology / relate / anomali / logika dipatahkan) dan lokasi screenshot per adegan. Dibuat 29 Sep 2026. Rancangan saja; videonya belum dibuat.</t>
        </is>
      </c>
    </row>
    <row r="4" ht="34" customHeight="1">
      <c r="A4" s="3" t="inlineStr">
        <is>
          <t>Sheet</t>
        </is>
      </c>
      <c r="B4" s="3" t="inlineStr">
        <is>
          <t>Isi</t>
        </is>
      </c>
      <c r="C4" s="3" t="inlineStr"/>
      <c r="D4" s="3" t="inlineStr"/>
      <c r="E4" s="3" t="inlineStr"/>
      <c r="F4" s="3" t="inlineStr"/>
    </row>
    <row r="5" ht="30" customHeight="1">
      <c r="A5" s="4" t="inlineStr">
        <is>
          <t>Flow Semua Modul</t>
        </is>
      </c>
      <c r="B5" s="5" t="inlineStr">
        <is>
          <t>Flow unggulan "Perjalanan Satu Data": semua modul dalam satu video (± 3 menit), per adegan + screenshot. Kolom terakhir menandai adegan untuk versi 60 &amp; 30 dtk.</t>
        </is>
      </c>
      <c r="C5" s="6" t="n"/>
      <c r="D5" s="6" t="n"/>
      <c r="E5" s="6" t="n"/>
      <c r="F5" s="7" t="n"/>
    </row>
    <row r="6" ht="30" customHeight="1">
      <c r="A6" s="4" t="inlineStr">
        <is>
          <t>Daftar Video Modul</t>
        </is>
      </c>
      <c r="B6" s="5" t="inlineStr">
        <is>
          <t>Ringkasan 22 video modul: judul, hook &amp; jenisnya, target, pesan, CTA, dasar klaim, status screenshot.</t>
        </is>
      </c>
      <c r="C6" s="6" t="n"/>
      <c r="D6" s="6" t="n"/>
      <c r="E6" s="6" t="n"/>
      <c r="F6" s="7" t="n"/>
    </row>
    <row r="7" ht="30" customHeight="1">
      <c r="A7" s="4" t="inlineStr">
        <is>
          <t>Flow per Modul</t>
        </is>
      </c>
      <c r="B7" s="5" t="inlineStr">
        <is>
          <t>Flow adegan per video modul: waktu, visual, path screenshot, crop/sorot/blur, teks layar, VO, SFX.</t>
        </is>
      </c>
      <c r="C7" s="6" t="n"/>
      <c r="D7" s="6" t="n"/>
      <c r="E7" s="6" t="n"/>
      <c r="F7" s="7" t="n"/>
    </row>
    <row r="8" ht="30" customHeight="1">
      <c r="A8" s="4" t="inlineStr">
        <is>
          <t>Video Pendek 5-10-15</t>
        </is>
      </c>
      <c r="B8" s="5" t="inlineStr">
        <is>
          <t>32 video pendek (bumper 5 dtk, 10 dtk, 15 dtk), meme &amp; serius.</t>
        </is>
      </c>
      <c r="C8" s="6" t="n"/>
      <c r="D8" s="6" t="n"/>
      <c r="E8" s="6" t="n"/>
      <c r="F8" s="7" t="n"/>
    </row>
    <row r="9" ht="30" customHeight="1">
      <c r="A9" s="4" t="inlineStr">
        <is>
          <t>Rancangan Ads Meme</t>
        </is>
      </c>
      <c r="B9" s="5" t="inlineStr">
        <is>
          <t>48 konsep iklan meme dengan skor Awareness · Convert · Share (bobot bisa diubah).</t>
        </is>
      </c>
      <c r="C9" s="6" t="n"/>
      <c r="D9" s="6" t="n"/>
      <c r="E9" s="6" t="n"/>
      <c r="F9" s="7" t="n"/>
    </row>
    <row r="10" ht="30" customHeight="1">
      <c r="A10" s="4" t="inlineStr">
        <is>
          <t>Screenshot per Modul</t>
        </is>
      </c>
      <c r="B10" s="5" t="inlineStr">
        <is>
          <t>Inventaris screenshot: path, isi, status, catatan blur; daftar screenshot yang perlu diambil baru.</t>
        </is>
      </c>
      <c r="C10" s="6" t="n"/>
      <c r="D10" s="6" t="n"/>
      <c r="E10" s="6" t="n"/>
      <c r="F10" s="7" t="n"/>
    </row>
    <row r="11" ht="30" customHeight="1">
      <c r="A11" s="4" t="inlineStr">
        <is>
          <t>Bank Sound Meme</t>
        </is>
      </c>
      <c r="B11" s="5" t="inlineStr">
        <is>
          <t>Hasil cek myinstants + versi aman tiap suara (synth / rekaman tim).</t>
        </is>
      </c>
      <c r="C11" s="6" t="n"/>
      <c r="D11" s="6" t="n"/>
      <c r="E11" s="6" t="n"/>
      <c r="F11" s="7" t="n"/>
    </row>
    <row r="12" ht="30" customHeight="1">
      <c r="A12" s="4" t="inlineStr">
        <is>
          <t>Efek VO</t>
        </is>
      </c>
      <c r="B12" s="5" t="inlineStr">
        <is>
          <t>Preset efek suara VO (berat, tupai, telepon, toa, robot, gema, bisik, dll.).</t>
        </is>
      </c>
      <c r="C12" s="6" t="n"/>
      <c r="D12" s="6" t="n"/>
      <c r="E12" s="6" t="n"/>
      <c r="F12" s="7" t="n"/>
    </row>
    <row r="13" ht="30" customHeight="1">
      <c r="A13" s="4" t="inlineStr">
        <is>
          <t>Opsi TTS</t>
        </is>
      </c>
      <c r="B13" s="5" t="inlineStr">
        <is>
          <t>ElevenLabs, Prosa.ai, Google Chirp 3 HD, Azure: perbandingan &amp; cara pakai.</t>
        </is>
      </c>
      <c r="C13" s="6" t="n"/>
      <c r="D13" s="6" t="n"/>
      <c r="E13" s="6" t="n"/>
      <c r="F13" s="7" t="n"/>
    </row>
    <row r="14" ht="30" customHeight="1">
      <c r="A14" s="4" t="inlineStr">
        <is>
          <t>Kalender Tayang</t>
        </is>
      </c>
      <c r="B14" s="5" t="inlineStr">
        <is>
          <t>Jadwal mingguan Okt 2026 – Jan 2027.</t>
        </is>
      </c>
      <c r="C14" s="6" t="n"/>
      <c r="D14" s="6" t="n"/>
      <c r="E14" s="6" t="n"/>
      <c r="F14" s="7" t="n"/>
    </row>
    <row r="15" ht="30" customHeight="1">
      <c r="A15" s="4" t="inlineStr">
        <is>
          <t>Metodologi Skor</t>
        </is>
      </c>
      <c r="B15" s="5" t="inlineStr">
        <is>
          <t>Bobot skor, kriteria, 4 jenis hook, KPI validasi.</t>
        </is>
      </c>
      <c r="C15" s="6" t="n"/>
      <c r="D15" s="6" t="n"/>
      <c r="E15" s="6" t="n"/>
      <c r="F15" s="7" t="n"/>
    </row>
    <row r="17">
      <c r="A17" s="8" t="inlineStr">
        <is>
          <t>Urutan produksi yang disarankan</t>
        </is>
      </c>
    </row>
    <row r="18" ht="30" customHeight="1">
      <c r="A18" s="2" t="inlineStr">
        <is>
          <t>1. Flow unggulan "Perjalanan Satu Data" (3 menit) + potongan 60 &amp; 30 dtk: fondasi kampanye.</t>
        </is>
      </c>
    </row>
    <row r="19" ht="30" customHeight="1">
      <c r="A19" s="2" t="inlineStr">
        <is>
          <t>2. Video modul 10 produk inti di landing page: M02 GAP, M04 RoPA, M05 DPIA, M07 DSR, M08 Consent &amp; Cookie, M13 Pihak Ketiga, M14 Transfer Lintas Negara, M11 Insiden, M15 Data Discovery, M19 Priva AI.</t>
        </is>
      </c>
    </row>
    <row r="20" ht="30" customHeight="1">
      <c r="A20" s="2" t="inlineStr">
        <is>
          <t>3. Video pendek dari potongan N11 &amp; modul (P01–P32) untuk ritme harian.</t>
        </is>
      </c>
    </row>
    <row r="21" ht="30" customHeight="1">
      <c r="A21" s="2" t="inlineStr">
        <is>
          <t>4. Modul lain (M01, M03, M06, M09, M10, M12, M16–M18, M20–M22), dengan mengambil screenshot baru dulu bila statusnya "PERLU SCREENSHOT BARU".</t>
        </is>
      </c>
    </row>
    <row r="23">
      <c r="A23" s="8" t="inlineStr">
        <is>
          <t>Catatan penting</t>
        </is>
      </c>
    </row>
    <row r="24" ht="40" customHeight="1">
      <c r="A24" s="2" t="inlineStr">
        <is>
          <t>• Screenshot yang dirujuk adalah tampilan frontend LAMA (sesuai arahan: boleh dipakai). Path relatif dari D:\AI\privasimu.</t>
        </is>
      </c>
    </row>
    <row r="25" ht="40" customHeight="1">
      <c r="A25" s="2" t="inlineStr">
        <is>
          <t>• JANGAN pakai: dataroom/02-superadmin/holding-dashboard/* (nama perusahaan nyata), dsr/01-overview (merek bank nyata), tabel cookie (nama layanan &amp; domain nyata), data-discovery/03-system-detail (form kredensial), bagian "DPO / Team" di ropa/03 (email).</t>
        </is>
      </c>
    </row>
    <row r="26" ht="40" customHeight="1">
      <c r="A26" s="2" t="inlineStr">
        <is>
          <t>• myinstants.com: hanya untuk pemakaian pribadi &amp; nonkomersial → file aslinya tidak dipakai. "FAAAH" dkk. direkam ulang tim atau dibuat dengan ElevenLabs (paket berbayar).</t>
        </is>
      </c>
    </row>
    <row r="27" ht="40" customHeight="1">
      <c r="A27" s="2" t="inlineStr">
        <is>
          <t>• Suara TTS sekarang (edge-tts) hanya placeholder. Untuk logat Indonesia natural: ElevenLabs, Prosa.ai, atau Google Chirp 3 HD (sheet Opsi TTS).</t>
        </is>
      </c>
    </row>
    <row r="28" ht="40" customHeight="1">
      <c r="A28" s="2" t="inlineStr">
        <is>
          <t>• Klaim produk mengacu fakta_produk.json, katalog modul, dan tampilan aplikasi (kolom "Dasar fakta"). Tokoh (mis. Rina) &amp; angka lucu adalah ilustrasi. Promo "Start Pre Check (gratis)" &amp; "konsultasi gratis": cek masih berlaku.</t>
        </is>
      </c>
    </row>
    <row r="30">
      <c r="A30" s="8" t="inlineStr">
        <is>
          <t>Top 10 konsep meme (skor total, bobot awal 35/35/30)</t>
        </is>
      </c>
    </row>
    <row r="31" ht="34" customHeight="1">
      <c r="A31" s="3" t="inlineStr">
        <is>
          <t>#</t>
        </is>
      </c>
      <c r="B31" s="3" t="inlineStr">
        <is>
          <t>ID</t>
        </is>
      </c>
      <c r="C31" s="3" t="inlineStr">
        <is>
          <t>Judul</t>
        </is>
      </c>
      <c r="D31" s="3" t="inlineStr">
        <is>
          <t>Jenis hook</t>
        </is>
      </c>
      <c r="E31" s="3" t="inlineStr">
        <is>
          <t>Skor</t>
        </is>
      </c>
      <c r="F31" s="3" t="inlineStr">
        <is>
          <t>Status</t>
        </is>
      </c>
    </row>
    <row r="32" ht="22" customHeight="1">
      <c r="A32" s="9" t="n">
        <v>1</v>
      </c>
      <c r="B32" s="9" t="inlineStr">
        <is>
          <t>A22</t>
        </is>
      </c>
      <c r="C32" s="5" t="inlineStr">
        <is>
          <t>Rekap Tahunan DPO 2026</t>
        </is>
      </c>
      <c r="D32" s="5" t="inlineStr">
        <is>
          <t>Relate</t>
        </is>
      </c>
      <c r="E32" s="9" t="n">
        <v>8.199999999999999</v>
      </c>
      <c r="F32" s="5" t="inlineStr">
        <is>
          <t>Baru</t>
        </is>
      </c>
    </row>
    <row r="33" ht="22" customHeight="1">
      <c r="A33" s="9" t="n">
        <v>2</v>
      </c>
      <c r="B33" s="9" t="inlineStr">
        <is>
          <t>A47</t>
        </is>
      </c>
      <c r="C33" s="5" t="inlineStr">
        <is>
          <t>Roasting RoPA (live)</t>
        </is>
      </c>
      <c r="D33" s="5" t="inlineStr">
        <is>
          <t>Reverse psychology</t>
        </is>
      </c>
      <c r="E33" s="9" t="n">
        <v>8</v>
      </c>
      <c r="F33" s="5" t="inlineStr">
        <is>
          <t>Baru</t>
        </is>
      </c>
    </row>
    <row r="34" ht="22" customHeight="1">
      <c r="A34" s="9" t="n">
        <v>3</v>
      </c>
      <c r="B34" s="9" t="inlineStr">
        <is>
          <t>A48</t>
        </is>
      </c>
      <c r="C34" s="5" t="inlineStr">
        <is>
          <t>#RoPA60Detik challenge</t>
        </is>
      </c>
      <c r="D34" s="5" t="inlineStr">
        <is>
          <t>Reverse psychology</t>
        </is>
      </c>
      <c r="E34" s="9" t="n">
        <v>8</v>
      </c>
      <c r="F34" s="5" t="inlineStr">
        <is>
          <t>Baru</t>
        </is>
      </c>
    </row>
    <row r="35" ht="22" customHeight="1">
      <c r="A35" s="9" t="n">
        <v>4</v>
      </c>
      <c r="B35" s="9" t="inlineStr">
        <is>
          <t>A02</t>
        </is>
      </c>
      <c r="C35" s="5" t="inlineStr">
        <is>
          <t>Astaga, bercanda (Pak Bos edition)</t>
        </is>
      </c>
      <c r="D35" s="5" t="inlineStr">
        <is>
          <t>Relate</t>
        </is>
      </c>
      <c r="E35" s="9" t="n">
        <v>7.9</v>
      </c>
      <c r="F35" s="5" t="inlineStr">
        <is>
          <t>Sudah jadi (potongan N11)</t>
        </is>
      </c>
    </row>
    <row r="36" ht="22" customHeight="1">
      <c r="A36" s="9" t="n">
        <v>5</v>
      </c>
      <c r="B36" s="9" t="inlineStr">
        <is>
          <t>A09</t>
        </is>
      </c>
      <c r="C36" s="5" t="inlineStr">
        <is>
          <t>Nobody: / Marketing jam 5 sore</t>
        </is>
      </c>
      <c r="D36" s="5" t="inlineStr">
        <is>
          <t>Relate</t>
        </is>
      </c>
      <c r="E36" s="9" t="n">
        <v>7.9</v>
      </c>
      <c r="F36" s="5" t="inlineStr">
        <is>
          <t>Baru (kit, mirip N05)</t>
        </is>
      </c>
    </row>
    <row r="37" ht="22" customHeight="1">
      <c r="A37" s="9" t="n">
        <v>6</v>
      </c>
      <c r="B37" s="9" t="inlineStr">
        <is>
          <t>A01</t>
        </is>
      </c>
      <c r="C37" s="5" t="inlineStr">
        <is>
          <t>FAAAH: RoPA-nya masih Excel</t>
        </is>
      </c>
      <c r="D37" s="5" t="inlineStr">
        <is>
          <t>Relate</t>
        </is>
      </c>
      <c r="E37" s="9" t="n">
        <v>7.7</v>
      </c>
      <c r="F37" s="5" t="inlineStr">
        <is>
          <t>Bisa dibuat dari kit (varian N04)</t>
        </is>
      </c>
    </row>
    <row r="38" ht="22" customHeight="1">
      <c r="A38" s="9" t="n">
        <v>7</v>
      </c>
      <c r="B38" s="9" t="inlineStr">
        <is>
          <t>A04</t>
        </is>
      </c>
      <c r="C38" s="5" t="inlineStr">
        <is>
          <t>Orang have vs haven't vs not yet</t>
        </is>
      </c>
      <c r="D38" s="5" t="inlineStr">
        <is>
          <t>Relate</t>
        </is>
      </c>
      <c r="E38" s="9" t="n">
        <v>7.7</v>
      </c>
      <c r="F38" s="5" t="inlineStr">
        <is>
          <t>Sudah jadi (potongan N11)</t>
        </is>
      </c>
    </row>
    <row r="39" ht="22" customHeight="1">
      <c r="A39" s="9" t="n">
        <v>8</v>
      </c>
      <c r="B39" s="9" t="inlineStr">
        <is>
          <t>A08</t>
        </is>
      </c>
      <c r="C39" s="5" t="inlineStr">
        <is>
          <t>EMOTIONAL DAMAGE: denda 2%</t>
        </is>
      </c>
      <c r="D39" s="5" t="inlineStr">
        <is>
          <t>Anomali</t>
        </is>
      </c>
      <c r="E39" s="9" t="n">
        <v>7.7</v>
      </c>
      <c r="F39" s="5" t="inlineStr">
        <is>
          <t>Baru (kit)</t>
        </is>
      </c>
    </row>
    <row r="40" ht="22" customHeight="1">
      <c r="A40" s="9" t="n">
        <v>9</v>
      </c>
      <c r="B40" s="9" t="inlineStr">
        <is>
          <t>A21</t>
        </is>
      </c>
      <c r="C40" s="5" t="inlineStr">
        <is>
          <t>Day in the life of a DPO (versi jujur)</t>
        </is>
      </c>
      <c r="D40" s="5" t="inlineStr">
        <is>
          <t>Relate</t>
        </is>
      </c>
      <c r="E40" s="9" t="n">
        <v>7.7</v>
      </c>
      <c r="F40" s="5" t="inlineStr">
        <is>
          <t>Baru</t>
        </is>
      </c>
    </row>
    <row r="41" ht="22" customHeight="1">
      <c r="A41" s="9" t="n">
        <v>10</v>
      </c>
      <c r="B41" s="9" t="inlineStr">
        <is>
          <t>A24</t>
        </is>
      </c>
      <c r="C41" s="5" t="inlineStr">
        <is>
          <t>Resolusi 2027: patuh PP 33</t>
        </is>
      </c>
      <c r="D41" s="5" t="inlineStr">
        <is>
          <t>Logika dipatahkan</t>
        </is>
      </c>
      <c r="E41" s="9" t="n">
        <v>7.7</v>
      </c>
      <c r="F41" s="5" t="inlineStr">
        <is>
          <t>Baru</t>
        </is>
      </c>
    </row>
  </sheetData>
  <mergeCells count="21">
    <mergeCell ref="B7:F7"/>
    <mergeCell ref="A27:F27"/>
    <mergeCell ref="A18:F18"/>
    <mergeCell ref="A26:F26"/>
    <mergeCell ref="A21:F21"/>
    <mergeCell ref="A2:F2"/>
    <mergeCell ref="B12:F12"/>
    <mergeCell ref="B11:F11"/>
    <mergeCell ref="B14:F14"/>
    <mergeCell ref="B8:F8"/>
    <mergeCell ref="A20:F20"/>
    <mergeCell ref="B13:F13"/>
    <mergeCell ref="A28:F28"/>
    <mergeCell ref="A19:F19"/>
    <mergeCell ref="B10:F10"/>
    <mergeCell ref="B9:F9"/>
    <mergeCell ref="A24:F24"/>
    <mergeCell ref="B6:F6"/>
    <mergeCell ref="B15:F15"/>
    <mergeCell ref="B5:F5"/>
    <mergeCell ref="A25:F25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30" customWidth="1" min="4" max="4"/>
    <col width="38" customWidth="1" min="5" max="5"/>
    <col width="36" customWidth="1" min="6" max="6"/>
    <col width="30" customWidth="1" min="7" max="7"/>
    <col width="46" customWidth="1" min="8" max="8"/>
    <col width="16" customWidth="1" min="9" max="9"/>
    <col width="14" customWidth="1" min="10" max="10"/>
  </cols>
  <sheetData>
    <row r="1">
      <c r="A1" s="10" t="inlineStr">
        <is>
          <t>Flow unggulan: Perjalanan Satu Data (semua modul Privasimu Nexus)</t>
        </is>
      </c>
    </row>
    <row r="2" ht="46" customHeight="1">
      <c r="A2" s="2" t="inlineStr">
        <is>
          <t>Durasi ± 3:00 (versi potong 60 dtk &amp; 30 dtk ditandai) · Jenis hook: Reverse psychology → Anomali · Hook: "Jangan tonton video ini… kalau perusahaanmu tidak menyimpan satu pun nama, nomor HP, atau email pelanggan." → "Masih di sini? Berarti ini tentang kamu."
Catatan: Tokoh "Rina" &amp; datanya FIKTIF: tampilkan keterangan "ilustrasi". Musik: dari tegang (hook) → hangat (perjalanan) → megah (penutup). VO 1 narator + suara Rina (opsional).</t>
        </is>
      </c>
    </row>
    <row r="4" ht="34" customHeight="1">
      <c r="A4" s="3" t="inlineStr">
        <is>
          <t>#</t>
        </is>
      </c>
      <c r="B4" s="3" t="inlineStr">
        <is>
          <t>Waktu</t>
        </is>
      </c>
      <c r="C4" s="3" t="inlineStr">
        <is>
          <t>Bab</t>
        </is>
      </c>
      <c r="D4" s="3" t="inlineStr">
        <is>
          <t>Visual</t>
        </is>
      </c>
      <c r="E4" s="3" t="inlineStr">
        <is>
          <t>Screenshot (path dari D:\AI\privasimu)</t>
        </is>
      </c>
      <c r="F4" s="3" t="inlineStr">
        <is>
          <t>Crop / sorot / blur</t>
        </is>
      </c>
      <c r="G4" s="3" t="inlineStr">
        <is>
          <t>Teks layar</t>
        </is>
      </c>
      <c r="H4" s="3" t="inlineStr">
        <is>
          <t>VO</t>
        </is>
      </c>
      <c r="I4" s="3" t="inlineStr">
        <is>
          <t>SFX / musik</t>
        </is>
      </c>
      <c r="J4" s="3" t="inlineStr">
        <is>
          <t>Masuk versi (dtk)</t>
        </is>
      </c>
    </row>
    <row r="5" ht="62" customHeight="1">
      <c r="A5" s="11" t="n">
        <v>1</v>
      </c>
      <c r="B5" s="11" t="inlineStr">
        <is>
          <t>0:00–0:05</t>
        </is>
      </c>
      <c r="C5" s="12" t="inlineStr">
        <is>
          <t>Hook</t>
        </is>
      </c>
      <c r="D5" s="13" t="inlineStr">
        <is>
          <t>Layar hitam, teks putih diketik</t>
        </is>
      </c>
      <c r="E5" s="13" t="inlineStr">
        <is>
          <t>—</t>
        </is>
      </c>
      <c r="F5" s="13" t="inlineStr">
        <is>
          <t>—</t>
        </is>
      </c>
      <c r="G5" s="13" t="inlineStr">
        <is>
          <t>Jangan tonton video ini…</t>
        </is>
      </c>
      <c r="H5" s="13" t="inlineStr">
        <is>
          <t>Jangan tonton video ini…</t>
        </is>
      </c>
      <c r="I5" s="13" t="inlineStr">
        <is>
          <t>record scratch, hening</t>
        </is>
      </c>
      <c r="J5" s="11" t="inlineStr">
        <is>
          <t>180 · 60 · 30</t>
        </is>
      </c>
    </row>
    <row r="6" ht="62" customHeight="1">
      <c r="A6" s="11" t="n">
        <v>2</v>
      </c>
      <c r="B6" s="11" t="inlineStr">
        <is>
          <t>0:05–0:10</t>
        </is>
      </c>
      <c r="C6" s="12" t="inlineStr">
        <is>
          <t>Hook</t>
        </is>
      </c>
      <c r="D6" s="13" t="inlineStr">
        <is>
          <t>Ikon kontak, HP, email beterbangan</t>
        </is>
      </c>
      <c r="E6" s="13" t="inlineStr">
        <is>
          <t>—</t>
        </is>
      </c>
      <c r="F6" s="13" t="inlineStr">
        <is>
          <t>—</t>
        </is>
      </c>
      <c r="G6" s="13" t="inlineStr">
        <is>
          <t>…kalau perusahaanmu tidak menyimpan satu pun data pelanggan.</t>
        </is>
      </c>
      <c r="H6" s="13" t="inlineStr">
        <is>
          <t>…kalau perusahaanmu tidak menyimpan satu pun nama, nomor HP, atau email pelanggan.</t>
        </is>
      </c>
      <c r="I6" s="13" t="inlineStr">
        <is>
          <t>whoosh</t>
        </is>
      </c>
      <c r="J6" s="11" t="inlineStr">
        <is>
          <t>180 · 60 · 30</t>
        </is>
      </c>
    </row>
    <row r="7" ht="62" customHeight="1">
      <c r="A7" s="11" t="n">
        <v>3</v>
      </c>
      <c r="B7" s="11" t="inlineStr">
        <is>
          <t>0:10–0:14</t>
        </is>
      </c>
      <c r="C7" s="12" t="inlineStr">
        <is>
          <t>Hook</t>
        </is>
      </c>
      <c r="D7" s="13" t="inlineStr">
        <is>
          <t>Ikon-ikon berhenti, zoom ke penonton</t>
        </is>
      </c>
      <c r="E7" s="13" t="inlineStr">
        <is>
          <t>—</t>
        </is>
      </c>
      <c r="F7" s="13" t="inlineStr">
        <is>
          <t>—</t>
        </is>
      </c>
      <c r="G7" s="13" t="inlineStr">
        <is>
          <t>Masih di sini? Berarti ini tentang kamu.</t>
        </is>
      </c>
      <c r="H7" s="13" t="inlineStr">
        <is>
          <t>Masih di sini? Berarti ini tentang kamu.</t>
        </is>
      </c>
      <c r="I7" s="13" t="inlineStr">
        <is>
          <t>vine boom</t>
        </is>
      </c>
      <c r="J7" s="11" t="inlineStr">
        <is>
          <t>180 · 60 · 30</t>
        </is>
      </c>
    </row>
    <row r="8" ht="62" customHeight="1">
      <c r="A8" s="9" t="n">
        <v>4</v>
      </c>
      <c r="B8" s="9" t="inlineStr">
        <is>
          <t>0:14–0:20</t>
        </is>
      </c>
      <c r="C8" s="14" t="inlineStr">
        <is>
          <t>Taruhannya</t>
        </is>
      </c>
      <c r="D8" s="5" t="inlineStr">
        <is>
          <t>Kalender dibalik ke 16 Jan 2027</t>
        </is>
      </c>
      <c r="E8" s="5" t="inlineStr">
        <is>
          <t>—</t>
        </is>
      </c>
      <c r="F8" s="5" t="inlineStr">
        <is>
          <t>—</t>
        </is>
      </c>
      <c r="G8" s="5" t="inlineStr">
        <is>
          <t>PP 33/2026 berlaku 16 Januari 2027</t>
        </is>
      </c>
      <c r="H8" s="5" t="inlineStr">
        <is>
          <t>Undang-undangnya sudah ada. Aturan pelaksananya, PP tiga puluh tiga, berlaku enam belas Januari dua ribu dua puluh tujuh.</t>
        </is>
      </c>
      <c r="I8" s="5" t="inlineStr">
        <is>
          <t>flip clock</t>
        </is>
      </c>
      <c r="J8" s="9" t="inlineStr">
        <is>
          <t>180 · 60</t>
        </is>
      </c>
    </row>
    <row r="9" ht="62" customHeight="1">
      <c r="A9" s="15" t="n">
        <v>5</v>
      </c>
      <c r="B9" s="15" t="inlineStr">
        <is>
          <t>0:20–0:26</t>
        </is>
      </c>
      <c r="C9" s="16" t="inlineStr">
        <is>
          <t>Taruhannya</t>
        </is>
      </c>
      <c r="D9" s="17" t="inlineStr">
        <is>
          <t>Angka 2% membesar</t>
        </is>
      </c>
      <c r="E9" s="17" t="inlineStr">
        <is>
          <t>—</t>
        </is>
      </c>
      <c r="F9" s="17" t="inlineStr">
        <is>
          <t>—</t>
        </is>
      </c>
      <c r="G9" s="17" t="inlineStr">
        <is>
          <t>Sanksi hingga 2% pendapatan tahunan</t>
        </is>
      </c>
      <c r="H9" s="17" t="inlineStr">
        <is>
          <t>Sanksi administratifnya bisa sampai dua persen dari pendapatan tahunan.</t>
        </is>
      </c>
      <c r="I9" s="17" t="inlineStr">
        <is>
          <t>dun dun dun</t>
        </is>
      </c>
      <c r="J9" s="15" t="inlineStr">
        <is>
          <t>180 · 60</t>
        </is>
      </c>
    </row>
    <row r="10" ht="62" customHeight="1">
      <c r="A10" s="9" t="n">
        <v>6</v>
      </c>
      <c r="B10" s="9" t="inlineStr">
        <is>
          <t>0:26–0:32</t>
        </is>
      </c>
      <c r="C10" s="14" t="inlineStr">
        <is>
          <t>Perkenalan</t>
        </is>
      </c>
      <c r="D10" s="5" t="inlineStr">
        <is>
          <t>Kartu profil "Rina, 29, pelanggan" (ilustrasi)</t>
        </is>
      </c>
      <c r="E10" s="5" t="inlineStr">
        <is>
          <t>—</t>
        </is>
      </c>
      <c r="F10" s="5" t="inlineStr">
        <is>
          <t>—</t>
        </is>
      </c>
      <c r="G10" s="5" t="inlineStr">
        <is>
          <t>Ikuti perjalanan satu data: Rina</t>
        </is>
      </c>
      <c r="H10" s="5" t="inlineStr">
        <is>
          <t>Mari ikuti perjalanan satu data pelanggan. Namanya Rina.</t>
        </is>
      </c>
      <c r="I10" s="5" t="inlineStr">
        <is>
          <t>musik hangat masuk</t>
        </is>
      </c>
      <c r="J10" s="9" t="inlineStr">
        <is>
          <t>180 · 60</t>
        </is>
      </c>
    </row>
    <row r="11" ht="62" customHeight="1">
      <c r="A11" s="15" t="n">
        <v>7</v>
      </c>
      <c r="B11" s="15" t="inlineStr">
        <is>
          <t>0:32–0:40</t>
        </is>
      </c>
      <c r="C11" s="16" t="inlineStr">
        <is>
          <t>Bab 1 · Rina mendaftar</t>
        </is>
      </c>
      <c r="D11" s="17" t="inlineStr">
        <is>
          <t>Collection point persetujuan</t>
        </is>
      </c>
      <c r="E11" s="17" t="inlineStr">
        <is>
          <t>dataroom/03-tenant/consent/01-overview.png</t>
        </is>
      </c>
      <c r="F11" s="17" t="inlineStr">
        <is>
          <t>Crop [262,40,1002,560]; BLUR kolom Domain; Blur blok user sidebar [0,470,262,140] atau crop mulai x=262</t>
        </is>
      </c>
      <c r="G11" s="17" t="inlineStr">
        <is>
          <t>Persetujuan + bukti</t>
        </is>
      </c>
      <c r="H11" s="17" t="inlineStr">
        <is>
          <t>Rina mendaftar di aplikasimu dan klik setuju. Di Nexus, persetujuan itu tersimpan beserta buktinya.</t>
        </is>
      </c>
      <c r="I11" s="17" t="inlineStr">
        <is>
          <t>klik + ding</t>
        </is>
      </c>
      <c r="J11" s="15" t="inlineStr">
        <is>
          <t>180 · 60</t>
        </is>
      </c>
    </row>
    <row r="12" ht="62" customHeight="1">
      <c r="A12" s="9" t="n">
        <v>8</v>
      </c>
      <c r="B12" s="9" t="inlineStr">
        <is>
          <t>0:40–0:45</t>
        </is>
      </c>
      <c r="C12" s="14" t="inlineStr">
        <is>
          <t>Bab 1</t>
        </is>
      </c>
      <c r="D12" s="5" t="inlineStr">
        <is>
          <t>Integrasi consent</t>
        </is>
      </c>
      <c r="E12" s="5" t="inlineStr">
        <is>
          <t>motion/assets/app/consent-detail.png</t>
        </is>
      </c>
      <c r="F12" s="5" t="inlineStr">
        <is>
          <t>Siap pakai; sorot API &amp; Webhook</t>
        </is>
      </c>
      <c r="G12" s="5" t="inlineStr">
        <is>
          <t>Penarikan menyebar ke semua sistem</t>
        </is>
      </c>
      <c r="H12" s="5" t="inlineStr">
        <is>
          <t>Kalau Rina berubah pikiran, penarikannya sampai ke semua sistem.</t>
        </is>
      </c>
      <c r="I12" s="5" t="inlineStr">
        <is>
          <t>sweep</t>
        </is>
      </c>
      <c r="J12" s="9" t="inlineStr">
        <is>
          <t>180</t>
        </is>
      </c>
    </row>
    <row r="13" ht="62" customHeight="1">
      <c r="A13" s="15" t="n">
        <v>9</v>
      </c>
      <c r="B13" s="15" t="inlineStr">
        <is>
          <t>0:45–0:50</t>
        </is>
      </c>
      <c r="C13" s="16" t="inlineStr">
        <is>
          <t>Bab 1</t>
        </is>
      </c>
      <c r="D13" s="17" t="inlineStr">
        <is>
          <t>Layar terbagi: Children Pro | Inclusive Privacy</t>
        </is>
      </c>
      <c r="E13" s="17" t="inlineStr">
        <is>
          <t>motion/assets/app/children-pro.png + motion/assets/app/inclusive-privacy.png</t>
        </is>
      </c>
      <c r="F13" s="17" t="inlineStr">
        <is>
          <t>Siap pakai</t>
        </is>
      </c>
      <c r="G13" s="17" t="inlineStr">
        <is>
          <t>Wali untuk anak · aksesibel untuk semua</t>
        </is>
      </c>
      <c r="H13" s="17" t="inlineStr">
        <is>
          <t>Untuk pengguna anak, persetujuan wali. Untuk penyandang disabilitas, persetujuan yang aksesibel.</t>
        </is>
      </c>
      <c r="I13" s="17" t="inlineStr">
        <is>
          <t>pop ×2</t>
        </is>
      </c>
      <c r="J13" s="15" t="inlineStr">
        <is>
          <t>180</t>
        </is>
      </c>
    </row>
    <row r="14" ht="62" customHeight="1">
      <c r="A14" s="9" t="n">
        <v>10</v>
      </c>
      <c r="B14" s="9" t="inlineStr">
        <is>
          <t>0:50–0:57</t>
        </is>
      </c>
      <c r="C14" s="14" t="inlineStr">
        <is>
          <t>Bab 2 · Datanya dicatat</t>
        </is>
      </c>
      <c r="D14" s="5" t="inlineStr">
        <is>
          <t>Daftar data spesifik</t>
        </is>
      </c>
      <c r="E14" s="5" t="inlineStr">
        <is>
          <t>motion/assets/app/ropa-data-spesifik.png</t>
        </is>
      </c>
      <c r="F14" s="5" t="inlineStr">
        <is>
          <t>Siap pakai; sorot data spesifik</t>
        </is>
      </c>
      <c r="G14" s="5" t="inlineStr">
        <is>
          <t>RoPA · data spesifik → TINGGI</t>
        </is>
      </c>
      <c r="H14" s="5" t="inlineStr">
        <is>
          <t>Setiap pemrosesan data Rina dicatat di RoPA. Ada data spesifik? Risikonya otomatis ditandai tinggi.</t>
        </is>
      </c>
      <c r="I14" s="5" t="inlineStr">
        <is>
          <t>alarm ringan</t>
        </is>
      </c>
      <c r="J14" s="9" t="inlineStr">
        <is>
          <t>180 · 60</t>
        </is>
      </c>
    </row>
    <row r="15" ht="62" customHeight="1">
      <c r="A15" s="15" t="n">
        <v>11</v>
      </c>
      <c r="B15" s="15" t="inlineStr">
        <is>
          <t>0:57–1:04</t>
        </is>
      </c>
      <c r="C15" s="16" t="inlineStr">
        <is>
          <t>Bab 2</t>
        </is>
      </c>
      <c r="D15" s="17" t="inlineStr">
        <is>
          <t>Unggah dokumen lama</t>
        </is>
      </c>
      <c r="E15" s="17" t="inlineStr">
        <is>
          <t>dataroom/03-tenant/document-import/01-overview.png</t>
        </is>
      </c>
      <c r="F15" s="17" t="inlineStr">
        <is>
          <t>Crop [262,40,1002,420]; Blur blok user sidebar [0,470,262,140] atau crop mulai x=262</t>
        </is>
      </c>
      <c r="G15" s="17" t="inlineStr">
        <is>
          <t>Dokumen lama? Impor dengan AI</t>
        </is>
      </c>
      <c r="H15" s="17" t="inlineStr">
        <is>
          <t>Catatan lama di Word atau Excel? Diimpor dengan AI, tidak perlu diketik ulang.</t>
        </is>
      </c>
      <c r="I15" s="17" t="inlineStr">
        <is>
          <t>key → stop</t>
        </is>
      </c>
      <c r="J15" s="15" t="inlineStr">
        <is>
          <t>180</t>
        </is>
      </c>
    </row>
    <row r="16" ht="62" customHeight="1">
      <c r="A16" s="9" t="n">
        <v>12</v>
      </c>
      <c r="B16" s="9" t="inlineStr">
        <is>
          <t>1:04–1:11</t>
        </is>
      </c>
      <c r="C16" s="14" t="inlineStr">
        <is>
          <t>Bab 3 · Datanya dinilai</t>
        </is>
      </c>
      <c r="D16" s="5" t="inlineStr">
        <is>
          <t>Wizard risiko DPIA</t>
        </is>
      </c>
      <c r="E16" s="5" t="inlineStr">
        <is>
          <t>motion/assets/app/dpia-risiko.png</t>
        </is>
      </c>
      <c r="F16" s="5" t="inlineStr">
        <is>
          <t>Siap pakai</t>
        </is>
      </c>
      <c r="G16" s="5" t="inlineStr">
        <is>
          <t>DPIA · matriks 5×5</t>
        </is>
      </c>
      <c r="H16" s="5" t="inlineStr">
        <is>
          <t>Pemrosesan berisiko tinggi dinilai lewat DPIA, dengan matriks lima kali lima.</t>
        </is>
      </c>
      <c r="I16" s="5" t="inlineStr">
        <is>
          <t>pop</t>
        </is>
      </c>
      <c r="J16" s="9" t="inlineStr">
        <is>
          <t>180 · 60</t>
        </is>
      </c>
    </row>
    <row r="17" ht="62" customHeight="1">
      <c r="A17" s="15" t="n">
        <v>13</v>
      </c>
      <c r="B17" s="15" t="inlineStr">
        <is>
          <t>1:11–1:18</t>
        </is>
      </c>
      <c r="C17" s="16" t="inlineStr">
        <is>
          <t>Bab 3</t>
        </is>
      </c>
      <c r="D17" s="17" t="inlineStr">
        <is>
          <t>Risk Treatment Plan</t>
        </is>
      </c>
      <c r="E17" s="17" t="inlineStr">
        <is>
          <t>dataroom/03-tenant/risk-treatment-plan/01-overview.png</t>
        </is>
      </c>
      <c r="F17" s="17" t="inlineStr">
        <is>
          <t>Crop [262,40,1002,700]; BLUR kolom Owner; Blur blok user sidebar [0,470,262,140] atau crop mulai x=262</t>
        </is>
      </c>
      <c r="G17" s="17" t="inlineStr">
        <is>
          <t>Mitigasi terpantau · LIA untuk kepentingan sah</t>
        </is>
      </c>
      <c r="H17" s="17" t="inlineStr">
        <is>
          <t>Mitigasinya dipantau sampai tuntas. Pakai dasar kepentingan yang sah? Timbang dulu lewat LIA.</t>
        </is>
      </c>
      <c r="I17" s="17" t="inlineStr">
        <is>
          <t>check</t>
        </is>
      </c>
      <c r="J17" s="15" t="inlineStr">
        <is>
          <t>180</t>
        </is>
      </c>
    </row>
    <row r="18" ht="62" customHeight="1">
      <c r="A18" s="9" t="n">
        <v>14</v>
      </c>
      <c r="B18" s="9" t="inlineStr">
        <is>
          <t>1:18–1:25</t>
        </is>
      </c>
      <c r="C18" s="14" t="inlineStr">
        <is>
          <t>Bab 4 · Datanya dicari &amp; dijaga</t>
        </is>
      </c>
      <c r="D18" s="5" t="inlineStr">
        <is>
          <t>Katalog Data Discovery</t>
        </is>
      </c>
      <c r="E18" s="5" t="inlineStr">
        <is>
          <t>dataroom/03-tenant/data-discovery/01-overview.png</t>
        </is>
      </c>
      <c r="F18" s="5" t="inlineStr">
        <is>
          <t>Crop [262,40,1260,620]; Blur blok user sidebar [0,470,262,140] atau crop mulai x=262</t>
        </is>
      </c>
      <c r="G18" s="5" t="inlineStr">
        <is>
          <t>Data Rina ada di banyak sistem</t>
        </is>
      </c>
      <c r="H18" s="5" t="inlineStr">
        <is>
          <t>Data Rina ternyata tersebar di banyak sistem. Data Discovery menemukannya.</t>
        </is>
      </c>
      <c r="I18" s="5" t="inlineStr">
        <is>
          <t>sweep</t>
        </is>
      </c>
      <c r="J18" s="9" t="inlineStr">
        <is>
          <t>180</t>
        </is>
      </c>
    </row>
    <row r="19" ht="62" customHeight="1">
      <c r="A19" s="15" t="n">
        <v>15</v>
      </c>
      <c r="B19" s="15" t="inlineStr">
        <is>
          <t>1:25–1:32</t>
        </is>
      </c>
      <c r="C19" s="16" t="inlineStr">
        <is>
          <t>Bab 4</t>
        </is>
      </c>
      <c r="D19" s="17" t="inlineStr">
        <is>
          <t>Privacy Posture Score</t>
        </is>
      </c>
      <c r="E19" s="17" t="inlineStr">
        <is>
          <t>frontend/tmp/audit4/security.png</t>
        </is>
      </c>
      <c r="F19" s="17" t="inlineStr">
        <is>
          <t>Crop [200,40,1240,820]; Blur nama org [300,22,200,26]; buang sidebar (x&lt;200)</t>
        </is>
      </c>
      <c r="G19" s="17" t="inlineStr">
        <is>
          <t>Postur: data · proses · respons</t>
        </is>
      </c>
      <c r="H19" s="17" t="inlineStr">
        <is>
          <t>Postur privasi organisasi dipantau dari tiga lapisan: data, proses, dan respons.</t>
        </is>
      </c>
      <c r="I19" s="17" t="inlineStr">
        <is>
          <t>ding</t>
        </is>
      </c>
      <c r="J19" s="15" t="inlineStr">
        <is>
          <t>180</t>
        </is>
      </c>
    </row>
    <row r="20" ht="62" customHeight="1">
      <c r="A20" s="9" t="n">
        <v>16</v>
      </c>
      <c r="B20" s="9" t="inlineStr">
        <is>
          <t>1:32–1:39</t>
        </is>
      </c>
      <c r="C20" s="14" t="inlineStr">
        <is>
          <t>Bab 5 · Datanya dibagi</t>
        </is>
      </c>
      <c r="D20" s="5" t="inlineStr">
        <is>
          <t>Detail pihak ketiga + skor AI</t>
        </is>
      </c>
      <c r="E20" s="5" t="inlineStr">
        <is>
          <t>dataroom/03-tenant/vendor-risk/07-detail-pihakketiga.png</t>
        </is>
      </c>
      <c r="F20" s="5" t="inlineStr">
        <is>
          <t>Crop modal [470,40,760,560]; BLUR Website</t>
        </is>
      </c>
      <c r="G20" s="5" t="inlineStr">
        <is>
          <t>Pihak ketiga dinilai</t>
        </is>
      </c>
      <c r="H20" s="5" t="inlineStr">
        <is>
          <t>Data Rina juga diproses pihak ketiga. Risikonya dinilai, lengkap dengan skor dari analisis AI.</t>
        </is>
      </c>
      <c r="I20" s="5" t="inlineStr">
        <is>
          <t>vineboom kecil</t>
        </is>
      </c>
      <c r="J20" s="9" t="inlineStr">
        <is>
          <t>180 · 60</t>
        </is>
      </c>
    </row>
    <row r="21" ht="62" customHeight="1">
      <c r="A21" s="15" t="n">
        <v>17</v>
      </c>
      <c r="B21" s="15" t="inlineStr">
        <is>
          <t>1:39–1:45</t>
        </is>
      </c>
      <c r="C21" s="16" t="inlineStr">
        <is>
          <t>Bab 5</t>
        </is>
      </c>
      <c r="D21" s="17" t="inlineStr">
        <is>
          <t>Register transfer lintas batas</t>
        </is>
      </c>
      <c r="E21" s="17" t="inlineStr">
        <is>
          <t>dataroom/03-tenant/cross-border/01-overview.png</t>
        </is>
      </c>
      <c r="F21" s="17" t="inlineStr">
        <is>
          <t>Crop [262,40,1002,640]; BLUR kolom Entitas Tujuan; Blur blok user sidebar [0,470,262,140] atau crop mulai x=262</t>
        </is>
      </c>
      <c r="G21" s="17" t="inlineStr">
        <is>
          <t>Ke luar negeri? Ada TIA</t>
        </is>
      </c>
      <c r="H21" s="17" t="inlineStr">
        <is>
          <t>Ada yang disimpan di luar negeri? Terdaftar, dan dinilai lewat TIA.</t>
        </is>
      </c>
      <c r="I21" s="17" t="inlineStr">
        <is>
          <t>sweep</t>
        </is>
      </c>
      <c r="J21" s="15" t="inlineStr">
        <is>
          <t>180</t>
        </is>
      </c>
    </row>
    <row r="22" ht="62" customHeight="1">
      <c r="A22" s="9" t="n">
        <v>18</v>
      </c>
      <c r="B22" s="9" t="inlineStr">
        <is>
          <t>1:45–1:50</t>
        </is>
      </c>
      <c r="C22" s="14" t="inlineStr">
        <is>
          <t>Bab 5</t>
        </is>
      </c>
      <c r="D22" s="5" t="inlineStr">
        <is>
          <t>Ringkasan telaah kontrak</t>
        </is>
      </c>
      <c r="E22" s="5" t="inlineStr">
        <is>
          <t>frontend/tmp/audit4/contract-review.png</t>
        </is>
      </c>
      <c r="F22" s="5" t="inlineStr">
        <is>
          <t>Crop [200,40,1240,520]; Blur nama org [300,22,200,26]; buang sidebar (x&lt;200)</t>
        </is>
      </c>
      <c r="G22" s="5" t="inlineStr">
        <is>
          <t>Kontrak ditelaah per pasal</t>
        </is>
      </c>
      <c r="H22" s="5" t="inlineStr">
        <is>
          <t>Kontrak dan perjanjian pemrosesan datanya ditelaah per pasal.</t>
        </is>
      </c>
      <c r="I22" s="5" t="inlineStr">
        <is>
          <t>pop</t>
        </is>
      </c>
      <c r="J22" s="9" t="inlineStr">
        <is>
          <t>180</t>
        </is>
      </c>
    </row>
    <row r="23" ht="62" customHeight="1">
      <c r="A23" s="15" t="n">
        <v>19</v>
      </c>
      <c r="B23" s="15" t="inlineStr">
        <is>
          <t>1:50–1:57</t>
        </is>
      </c>
      <c r="C23" s="16" t="inlineStr">
        <is>
          <t>Bab 6 · Rina minta dihapus</t>
        </is>
      </c>
      <c r="D23" s="17" t="inlineStr">
        <is>
          <t>Header DSR dengan tenggat</t>
        </is>
      </c>
      <c r="E23" s="17" t="inlineStr">
        <is>
          <t>motion/assets/app/dsr-detail.png</t>
        </is>
      </c>
      <c r="F23" s="17" t="inlineStr">
        <is>
          <t>Siap pakai; sorot "7h tersisa"</t>
        </is>
      </c>
      <c r="G23" s="17" t="inlineStr">
        <is>
          <t>Tenggat 72 jam otomatis</t>
        </is>
      </c>
      <c r="H23" s="17" t="inlineStr">
        <is>
          <t>Suatu hari, Rina minta datanya dihapus. Tenggat tujuh puluh dua jam langsung berjalan otomatis.</t>
        </is>
      </c>
      <c r="I23" s="17" t="inlineStr">
        <is>
          <t>notif + clock</t>
        </is>
      </c>
      <c r="J23" s="15" t="inlineStr">
        <is>
          <t>180 · 60 · 30</t>
        </is>
      </c>
    </row>
    <row r="24" ht="62" customHeight="1">
      <c r="A24" s="9" t="n">
        <v>20</v>
      </c>
      <c r="B24" s="9" t="inlineStr">
        <is>
          <t>1:57–2:04</t>
        </is>
      </c>
      <c r="C24" s="14" t="inlineStr">
        <is>
          <t>Bab 6</t>
        </is>
      </c>
      <c r="D24" s="5" t="inlineStr">
        <is>
          <t>Sertifikat penyelesaian</t>
        </is>
      </c>
      <c r="E24" s="5" t="inlineStr">
        <is>
          <t>dataroom/03-tenant/dsr/09-tab-certificates.png</t>
        </is>
      </c>
      <c r="F24" s="5" t="inlineStr">
        <is>
          <t>Crop [262,40,1002,420]; Blur blok user sidebar [0,470,262,140] atau crop mulai x=262</t>
        </is>
      </c>
      <c r="G24" s="5" t="inlineStr">
        <is>
          <t>Sertifikat otomatis</t>
        </is>
      </c>
      <c r="H24" s="5" t="inlineStr">
        <is>
          <t>Selesai? Sertifikat penyelesaian dibuat otomatis.</t>
        </is>
      </c>
      <c r="I24" s="5" t="inlineStr">
        <is>
          <t>correct</t>
        </is>
      </c>
      <c r="J24" s="9" t="inlineStr">
        <is>
          <t>180</t>
        </is>
      </c>
    </row>
    <row r="25" ht="62" customHeight="1">
      <c r="A25" s="15" t="n">
        <v>21</v>
      </c>
      <c r="B25" s="15" t="inlineStr">
        <is>
          <t>2:04–2:12</t>
        </is>
      </c>
      <c r="C25" s="16" t="inlineStr">
        <is>
          <t>Bab 7 · Jam 3 pagi</t>
        </is>
      </c>
      <c r="D25" s="17" t="inlineStr">
        <is>
          <t>Detail insiden + 5 fase</t>
        </is>
      </c>
      <c r="E25" s="17" t="inlineStr">
        <is>
          <t>motion/assets/app/breach-detail.png</t>
        </is>
      </c>
      <c r="F25" s="17" t="inlineStr">
        <is>
          <t>Siap pakai; sorot "Wajib Notifikasi" + stepper</t>
        </is>
      </c>
      <c r="G25" s="17" t="inlineStr">
        <is>
          <t>Alur 5 fase · 3×24 jam</t>
        </is>
      </c>
      <c r="H25" s="17" t="inlineStr">
        <is>
          <t>Lalu, jam tiga pagi, dugaan kebocoran. Alurnya sudah siap: lima fase, templat pemberitahuan, hitung mundur tiga kali dua puluh empat jam.</t>
        </is>
      </c>
      <c r="I25" s="17" t="inlineStr">
        <is>
          <t>alarm → tenang</t>
        </is>
      </c>
      <c r="J25" s="15" t="inlineStr">
        <is>
          <t>180 · 60 · 30</t>
        </is>
      </c>
    </row>
    <row r="26" ht="62" customHeight="1">
      <c r="A26" s="9" t="n">
        <v>22</v>
      </c>
      <c r="B26" s="9" t="inlineStr">
        <is>
          <t>2:12–2:20</t>
        </is>
      </c>
      <c r="C26" s="14" t="inlineStr">
        <is>
          <t>Bab 7</t>
        </is>
      </c>
      <c r="D26" s="5" t="inlineStr">
        <is>
          <t>Fire Drill</t>
        </is>
      </c>
      <c r="E26" s="5" t="inlineStr">
        <is>
          <t>dataroom/03-tenant/simulation/02-recheck.png</t>
        </is>
      </c>
      <c r="F26" s="5" t="inlineStr">
        <is>
          <t>Crop [262,40,1002,640]; buang kartu "Rata-rata skor"; BLUR kolom User</t>
        </is>
      </c>
      <c r="G26" s="5" t="inlineStr">
        <is>
          <t>Sudah pernah latihan</t>
        </is>
      </c>
      <c r="H26" s="5" t="inlineStr">
        <is>
          <t>Tim tidak panik, karena sudah pernah latihan lewat Fire Drill.</t>
        </is>
      </c>
      <c r="I26" s="5" t="inlineStr">
        <is>
          <t>check</t>
        </is>
      </c>
      <c r="J26" s="9" t="inlineStr">
        <is>
          <t>180</t>
        </is>
      </c>
    </row>
    <row r="27" ht="62" customHeight="1">
      <c r="A27" s="15" t="n">
        <v>23</v>
      </c>
      <c r="B27" s="15" t="inlineStr">
        <is>
          <t>2:20–2:27</t>
        </is>
      </c>
      <c r="C27" s="16" t="inlineStr">
        <is>
          <t>Bab 8 · Buktikan patuh</t>
        </is>
      </c>
      <c r="D27" s="17" t="inlineStr">
        <is>
          <t>Hasil GAP</t>
        </is>
      </c>
      <c r="E27" s="17" t="inlineStr">
        <is>
          <t>motion/assets/app/gap-hasil.png</t>
        </is>
      </c>
      <c r="F27" s="17" t="inlineStr">
        <is>
          <t>Siap pakai</t>
        </is>
      </c>
      <c r="G27" s="17" t="inlineStr">
        <is>
          <t>Skor &amp; rencana perbaikan siap</t>
        </is>
      </c>
      <c r="H27" s="17" t="inlineStr">
        <is>
          <t>Saat auditor bertanya, skor kepatuhan dan rencana perbaikannya sudah ada.</t>
        </is>
      </c>
      <c r="I27" s="17" t="inlineStr">
        <is>
          <t>ding</t>
        </is>
      </c>
      <c r="J27" s="15" t="inlineStr">
        <is>
          <t>180 · 60</t>
        </is>
      </c>
    </row>
    <row r="28" ht="62" customHeight="1">
      <c r="A28" s="9" t="n">
        <v>24</v>
      </c>
      <c r="B28" s="9" t="inlineStr">
        <is>
          <t>2:27–2:32</t>
        </is>
      </c>
      <c r="C28" s="14" t="inlineStr">
        <is>
          <t>Bab 8</t>
        </is>
      </c>
      <c r="D28" s="5" t="inlineStr">
        <is>
          <t>Telaah kebijakan</t>
        </is>
      </c>
      <c r="E28" s="5" t="inlineStr">
        <is>
          <t>motion/assets/app/policy-review.png</t>
        </is>
      </c>
      <c r="F28" s="5" t="inlineStr">
        <is>
          <t>Siap pakai</t>
        </is>
      </c>
      <c r="G28" s="5" t="inlineStr">
        <is>
          <t>Kebijakan ditelaah</t>
        </is>
      </c>
      <c r="H28" s="5" t="inlineStr">
        <is>
          <t>Kebijakan internal ditelaah terhadap UU PDP dan PP tiga puluh tiga.</t>
        </is>
      </c>
      <c r="I28" s="5" t="inlineStr">
        <is>
          <t>pop</t>
        </is>
      </c>
      <c r="J28" s="9" t="inlineStr">
        <is>
          <t>180</t>
        </is>
      </c>
    </row>
    <row r="29" ht="62" customHeight="1">
      <c r="A29" s="15" t="n">
        <v>25</v>
      </c>
      <c r="B29" s="15" t="inlineStr">
        <is>
          <t>2:32–2:36</t>
        </is>
      </c>
      <c r="C29" s="16" t="inlineStr">
        <is>
          <t>Bab 8</t>
        </is>
      </c>
      <c r="D29" s="17" t="inlineStr">
        <is>
          <t>Dasbor (+ kartu holding kecil)</t>
        </is>
      </c>
      <c r="E29" s="17" t="inlineStr">
        <is>
          <t>motion/assets/app/dashboard.png</t>
        </is>
      </c>
      <c r="F29" s="17" t="inlineStr">
        <is>
          <t>Siap pakai</t>
        </is>
      </c>
      <c r="G29" s="17" t="inlineStr">
        <is>
          <t>Satu dasbor, seluruh grup</t>
        </is>
      </c>
      <c r="H29" s="17" t="inlineStr">
        <is>
          <t>Semuanya terangkum di satu dasbor, bahkan untuk seluruh grup usaha.</t>
        </is>
      </c>
      <c r="I29" s="17" t="inlineStr">
        <is>
          <t>shimmer</t>
        </is>
      </c>
      <c r="J29" s="15" t="inlineStr">
        <is>
          <t>180</t>
        </is>
      </c>
    </row>
    <row r="30" ht="62" customHeight="1">
      <c r="A30" s="9" t="n">
        <v>26</v>
      </c>
      <c r="B30" s="9" t="inlineStr">
        <is>
          <t>2:36–2:41</t>
        </is>
      </c>
      <c r="C30" s="14" t="inlineStr">
        <is>
          <t>Bab 9 · Orangnya siap</t>
        </is>
      </c>
      <c r="D30" s="5" t="inlineStr">
        <is>
          <t>Kartu kursus Academy</t>
        </is>
      </c>
      <c r="E30" s="5" t="inlineStr">
        <is>
          <t>motion/assets/app/dpo-academy.png</t>
        </is>
      </c>
      <c r="F30" s="5" t="inlineStr">
        <is>
          <t>Siap pakai</t>
        </is>
      </c>
      <c r="G30" s="5" t="inlineStr">
        <is>
          <t>DPO belajar di Academy</t>
        </is>
      </c>
      <c r="H30" s="5" t="inlineStr">
        <is>
          <t>DPO-nya belajar di DPO Academy…</t>
        </is>
      </c>
      <c r="I30" s="5" t="inlineStr">
        <is>
          <t>levelup</t>
        </is>
      </c>
      <c r="J30" s="9" t="inlineStr">
        <is>
          <t>180</t>
        </is>
      </c>
    </row>
    <row r="31" ht="62" customHeight="1">
      <c r="A31" s="15" t="n">
        <v>27</v>
      </c>
      <c r="B31" s="15" t="inlineStr">
        <is>
          <t>2:41–2:46</t>
        </is>
      </c>
      <c r="C31" s="16" t="inlineStr">
        <is>
          <t>Bab 9</t>
        </is>
      </c>
      <c r="D31" s="17" t="inlineStr">
        <is>
          <t>Jawaban Priva</t>
        </is>
      </c>
      <c r="E31" s="17" t="inlineStr">
        <is>
          <t>motion/assets/app/ai-agent-chat.png</t>
        </is>
      </c>
      <c r="F31" s="17" t="inlineStr">
        <is>
          <t>Siap pakai</t>
        </is>
      </c>
      <c r="G31" s="17" t="inlineStr">
        <is>
          <t>Priva: tidak mengarang pasal</t>
        </is>
      </c>
      <c r="H31" s="17" t="inlineStr">
        <is>
          <t>…dan punya Priva, asisten AI yang menjawab dari knowledge base, bukan mengarang pasal.</t>
        </is>
      </c>
      <c r="I31" s="17" t="inlineStr">
        <is>
          <t>shimmer</t>
        </is>
      </c>
      <c r="J31" s="15" t="inlineStr">
        <is>
          <t>180</t>
        </is>
      </c>
    </row>
    <row r="32" ht="62" customHeight="1">
      <c r="A32" s="9" t="n">
        <v>28</v>
      </c>
      <c r="B32" s="9" t="inlineStr">
        <is>
          <t>2:46–2:53</t>
        </is>
      </c>
      <c r="C32" s="14" t="inlineStr">
        <is>
          <t>Bab 10 · Tidak sendirian</t>
        </is>
      </c>
      <c r="D32" s="5" t="inlineStr">
        <is>
          <t>Ilustrasi tim konsultan (tanpa wajah nyata tanpa izin)</t>
        </is>
      </c>
      <c r="E32" s="5" t="inlineStr">
        <is>
          <t>—</t>
        </is>
      </c>
      <c r="F32" s="5" t="inlineStr">
        <is>
          <t>—</t>
        </is>
      </c>
      <c r="G32" s="5" t="inlineStr">
        <is>
          <t>Didampingi konsultan sampai audit</t>
        </is>
      </c>
      <c r="H32" s="5" t="inlineStr">
        <is>
          <t>Di balik Nexus, ada konsultan Privasimu yang mendampingi sampai audit.</t>
        </is>
      </c>
      <c r="I32" s="5" t="inlineStr">
        <is>
          <t>musik megah</t>
        </is>
      </c>
      <c r="J32" s="9" t="inlineStr">
        <is>
          <t>180 · 60 · 30</t>
        </is>
      </c>
    </row>
    <row r="33" ht="62" customHeight="1">
      <c r="A33" s="18" t="n">
        <v>29</v>
      </c>
      <c r="B33" s="18" t="inlineStr">
        <is>
          <t>2:53–3:00</t>
        </is>
      </c>
      <c r="C33" s="19" t="inlineStr">
        <is>
          <t>CTA</t>
        </is>
      </c>
      <c r="D33" s="20" t="inlineStr">
        <is>
          <t>Logo + tombol + kontak</t>
        </is>
      </c>
      <c r="E33" s="20" t="inlineStr">
        <is>
          <t>—</t>
        </is>
      </c>
      <c r="F33" s="20" t="inlineStr">
        <is>
          <t>—</t>
        </is>
      </c>
      <c r="G33" s="20" t="inlineStr">
        <is>
          <t>Data Rina aman. Data pelangganmu? · Start Pre Check (gratis)</t>
        </is>
      </c>
      <c r="H33" s="20" t="inlineStr">
        <is>
          <t>Data Rina aman. Data pelangganmu? Mulai dari Start Pre Check gratis di privasimu dot com.</t>
        </is>
      </c>
      <c r="I33" s="20" t="inlineStr">
        <is>
          <t>sonic logo</t>
        </is>
      </c>
      <c r="J33" s="18" t="inlineStr">
        <is>
          <t>180 · 60 · 30</t>
        </is>
      </c>
    </row>
  </sheetData>
  <autoFilter ref="A4:J33"/>
  <mergeCells count="1"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0" customWidth="1" min="3" max="3"/>
    <col width="9" customWidth="1" min="4" max="4"/>
    <col width="16" customWidth="1" min="5" max="5"/>
    <col width="44" customWidth="1" min="6" max="6"/>
    <col width="24" customWidth="1" min="7" max="7"/>
    <col width="18" customWidth="1" min="8" max="8"/>
    <col width="32" customWidth="1" min="9" max="9"/>
    <col width="30" customWidth="1" min="10" max="10"/>
    <col width="44" customWidth="1" min="11" max="11"/>
    <col width="22" customWidth="1" min="12" max="12"/>
    <col width="8" customWidth="1" min="13" max="13"/>
  </cols>
  <sheetData>
    <row r="1">
      <c r="A1" s="10" t="inlineStr">
        <is>
          <t>Daftar video modul (22 video)</t>
        </is>
      </c>
    </row>
    <row r="2" ht="46" customHeight="1">
      <c r="A2" s="2" t="inlineStr">
        <is>
          <t>Ringkasan setiap video modul. Klik kode untuk melompat ke flow-nya. Status screenshot: Siap / Perlu blur / PERLU SCREENSHOT BARU.</t>
        </is>
      </c>
    </row>
    <row r="4" ht="34" customHeight="1">
      <c r="A4" s="3" t="inlineStr">
        <is>
          <t>Kode</t>
        </is>
      </c>
      <c r="B4" s="3" t="inlineStr">
        <is>
          <t>Modul</t>
        </is>
      </c>
      <c r="C4" s="3" t="inlineStr">
        <is>
          <t>Judul</t>
        </is>
      </c>
      <c r="D4" s="3" t="inlineStr">
        <is>
          <t>Durasi</t>
        </is>
      </c>
      <c r="E4" s="3" t="inlineStr">
        <is>
          <t>Jenis hook</t>
        </is>
      </c>
      <c r="F4" s="3" t="inlineStr">
        <is>
          <t>Hook (kalimat pembuka)</t>
        </is>
      </c>
      <c r="G4" s="3" t="inlineStr">
        <is>
          <t>Target</t>
        </is>
      </c>
      <c r="H4" s="3" t="inlineStr">
        <is>
          <t>Nada</t>
        </is>
      </c>
      <c r="I4" s="3" t="inlineStr">
        <is>
          <t>Pesan utama</t>
        </is>
      </c>
      <c r="J4" s="3" t="inlineStr">
        <is>
          <t>CTA</t>
        </is>
      </c>
      <c r="K4" s="3" t="inlineStr">
        <is>
          <t>Dasar fakta / klaim</t>
        </is>
      </c>
      <c r="L4" s="3" t="inlineStr">
        <is>
          <t>Status screenshot</t>
        </is>
      </c>
      <c r="M4" s="3" t="inlineStr">
        <is>
          <t>Adegan</t>
        </is>
      </c>
    </row>
    <row r="5" ht="70" customHeight="1">
      <c r="A5" s="21" t="inlineStr">
        <is>
          <t>M01</t>
        </is>
      </c>
      <c r="B5" s="14" t="inlineStr">
        <is>
          <t>Dasbor Kepatuhan &amp; Postur Privasi</t>
        </is>
      </c>
      <c r="C5" s="5" t="inlineStr">
        <is>
          <t>Laporan terbaik bukan yang paling tebal</t>
        </is>
      </c>
      <c r="D5" s="9" t="inlineStr">
        <is>
          <t>50 dtk</t>
        </is>
      </c>
      <c r="E5" s="9" t="inlineStr">
        <is>
          <t>Logika dipatahkan</t>
        </is>
      </c>
      <c r="F5" s="5" t="inlineStr">
        <is>
          <t>Laporan kepatuhan terbaik bukan yang paling tebal… tapi yang bisa dipahami direksi dalam 10 detik.</t>
        </is>
      </c>
      <c r="G5" s="5" t="inlineStr">
        <is>
          <t>Direksi, DPO, compliance lead</t>
        </is>
      </c>
      <c r="H5" s="5" t="inlineStr">
        <is>
          <t>Serius, ringkas</t>
        </is>
      </c>
      <c r="I5" s="5" t="inlineStr">
        <is>
          <t>Satu layar untuk kepatuhan lintas modul</t>
        </is>
      </c>
      <c r="J5" s="5" t="inlineStr">
        <is>
          <t>Start Pre Check (gratis) · privasimu.com · support@privasimu.com · 0851 8318 2722</t>
        </is>
      </c>
      <c r="K5" s="5" t="inlineStr">
        <is>
          <t>fakta_produk: dukungan PPDP (dasbor lintas modul); halaman Postur (3 lapisan: data 50%, proses 30%, respons 20%)</t>
        </is>
      </c>
      <c r="L5" s="22" t="inlineStr">
        <is>
          <t>Siap</t>
        </is>
      </c>
      <c r="M5" s="9" t="n">
        <v>7</v>
      </c>
    </row>
    <row r="6" ht="70" customHeight="1">
      <c r="A6" s="21" t="inlineStr">
        <is>
          <t>M02</t>
        </is>
      </c>
      <c r="B6" s="14" t="inlineStr">
        <is>
          <t>GAP Assessment</t>
        </is>
      </c>
      <c r="C6" s="5" t="inlineStr">
        <is>
          <t>Jangan cek skor kepatuhanmu…</t>
        </is>
      </c>
      <c r="D6" s="9" t="inlineStr">
        <is>
          <t>55 dtk</t>
        </is>
      </c>
      <c r="E6" s="9" t="inlineStr">
        <is>
          <t>Reverse psychology</t>
        </is>
      </c>
      <c r="F6" s="5" t="inlineStr">
        <is>
          <t>Jangan cek skor kepatuhan perusahaanmu… kalau belum siap kaget.</t>
        </is>
      </c>
      <c r="G6" s="5" t="inlineStr">
        <is>
          <t>DPO, legal, direksi</t>
        </is>
      </c>
      <c r="H6" s="5" t="inlineStr">
        <is>
          <t>Serius dengan sentilan</t>
        </is>
      </c>
      <c r="I6" s="5" t="inlineStr">
        <is>
          <t>Ukur kepatuhan UU PDP dengan skor &amp; rencana perbaikan</t>
        </is>
      </c>
      <c r="J6" s="5" t="inlineStr">
        <is>
          <t>Start Pre Check (gratis) · privasimu.com · support@privasimu.com · 0851 8318 2722</t>
        </is>
      </c>
      <c r="K6" s="5" t="inlineStr">
        <is>
          <t>fakta_produk: gap-assessment (kuesioner, skor, remediasi, analisis bukti AI 1 kredit &amp; dicache); panduan aplikasi: 34 indikator</t>
        </is>
      </c>
      <c r="L6" s="23" t="inlineStr">
        <is>
          <t>Siap (blur user)</t>
        </is>
      </c>
      <c r="M6" s="9" t="n">
        <v>8</v>
      </c>
    </row>
    <row r="7" ht="70" customHeight="1">
      <c r="A7" s="21" t="inlineStr">
        <is>
          <t>M03</t>
        </is>
      </c>
      <c r="B7" s="14" t="inlineStr">
        <is>
          <t>Maturity Assessment</t>
        </is>
      </c>
      <c r="C7" s="5" t="inlineStr">
        <is>
          <t>Patuh itu bukan ya/tidak</t>
        </is>
      </c>
      <c r="D7" s="9" t="inlineStr">
        <is>
          <t>50 dtk</t>
        </is>
      </c>
      <c r="E7" s="9" t="inlineStr">
        <is>
          <t>Logika dipatahkan</t>
        </is>
      </c>
      <c r="F7" s="5" t="inlineStr">
        <is>
          <t>"Sudah patuh atau belum?" itu pertanyaan yang salah.</t>
        </is>
      </c>
      <c r="G7" s="5" t="inlineStr">
        <is>
          <t>DPO, compliance lead</t>
        </is>
      </c>
      <c r="H7" s="5" t="inlineStr">
        <is>
          <t>Serius</t>
        </is>
      </c>
      <c r="I7" s="5" t="inlineStr">
        <is>
          <t>Kepatuhan punya level; naikkan levelnya</t>
        </is>
      </c>
      <c r="J7" s="5" t="inlineStr">
        <is>
          <t>Konsultasi dengan Privasimu · privasimu.com · support@privasimu.com · 0851 8318 2722</t>
        </is>
      </c>
      <c r="K7" s="5" t="inlineStr">
        <is>
          <t>fakta_produk: maturity (level per domain, analisis bukti AI, rekomendasi); subjudul aplikasi: 4 level Ad-hoc/Defined/Managed/Optimized</t>
        </is>
      </c>
      <c r="L7" s="23" t="inlineStr">
        <is>
          <t>Siap (blur user)</t>
        </is>
      </c>
      <c r="M7" s="9" t="n">
        <v>6</v>
      </c>
    </row>
    <row r="8" ht="70" customHeight="1">
      <c r="A8" s="21" t="inlineStr">
        <is>
          <t>M04</t>
        </is>
      </c>
      <c r="B8" s="14" t="inlineStr">
        <is>
          <t>RoPA</t>
        </is>
      </c>
      <c r="C8" s="5" t="inlineStr">
        <is>
          <t>RoPA_final_revisi3_FIX.xlsx harus pensiun</t>
        </is>
      </c>
      <c r="D8" s="9" t="inlineStr">
        <is>
          <t>60 dtk</t>
        </is>
      </c>
      <c r="E8" s="9" t="inlineStr">
        <is>
          <t>Relate</t>
        </is>
      </c>
      <c r="F8" s="5" t="inlineStr">
        <is>
          <t>Angkat tangan kalau kamu punya file bernama "RoPA_final_revisi3_FIX.xlsx".</t>
        </is>
      </c>
      <c r="G8" s="5" t="inlineStr">
        <is>
          <t>DPO, legal, pemilik proses</t>
        </is>
      </c>
      <c r="H8" s="5" t="inlineStr">
        <is>
          <t>Relatable → serius</t>
        </is>
      </c>
      <c r="I8" s="5" t="inlineStr">
        <is>
          <t>Satu register terpusat, alur jelas, jejak audit</t>
        </is>
      </c>
      <c r="J8" s="5" t="inlineStr">
        <is>
          <t>Start Pre Check (gratis) · privasimu.com · support@privasimu.com · 0851 8318 2722</t>
        </is>
      </c>
      <c r="K8" s="5" t="inlineStr">
        <is>
          <t>fakta_produk: ropa (wizard, kode ROPA, data spesifik → TINGGI → draf DPIA, Maker/Reviewer/Approver, tautan pihak ketiga, isi otomatis AI)</t>
        </is>
      </c>
      <c r="L8" s="23" t="inlineStr">
        <is>
          <t>Siap (1 aset perlu crop)</t>
        </is>
      </c>
      <c r="M8" s="9" t="n">
        <v>9</v>
      </c>
    </row>
    <row r="9" ht="70" customHeight="1">
      <c r="A9" s="21" t="inlineStr">
        <is>
          <t>M05</t>
        </is>
      </c>
      <c r="B9" s="14" t="inlineStr">
        <is>
          <t>DPIA &amp; Risk Treatment Plan</t>
        </is>
      </c>
      <c r="C9" s="5" t="inlineStr">
        <is>
          <t>Nilai dulu, baru meluncur</t>
        </is>
      </c>
      <c r="D9" s="9" t="inlineStr">
        <is>
          <t>60 dtk</t>
        </is>
      </c>
      <c r="E9" s="9" t="inlineStr">
        <is>
          <t>Anomali</t>
        </is>
      </c>
      <c r="F9" s="5" t="inlineStr">
        <is>
          <t>Proyek paling berisiko di kantormu… biasanya proyek yang paling ditunggu-tunggu.</t>
        </is>
      </c>
      <c r="G9" s="5" t="inlineStr">
        <is>
          <t>DPO, product owner, IT</t>
        </is>
      </c>
      <c r="H9" s="5" t="inlineStr">
        <is>
          <t>Serius</t>
        </is>
      </c>
      <c r="I9" s="5" t="inlineStr">
        <is>
          <t>DPIA tertaut RoPA, satu matriks risiko, mitigasi terpantau</t>
        </is>
      </c>
      <c r="J9" s="5" t="inlineStr">
        <is>
          <t>Schedule Demo · privasimu.com · support@privasimu.com · 0851 8318 2722</t>
        </is>
      </c>
      <c r="K9" s="5" t="inlineStr">
        <is>
          <t>fakta_produk: dpia (matriks 5×5, register risiko, tertaut RoPA, AI, Risk Treatment Plan); subjudul RTP di aplikasi</t>
        </is>
      </c>
      <c r="L9" s="23" t="inlineStr">
        <is>
          <t>Siap (RTP perlu blur owner)</t>
        </is>
      </c>
      <c r="M9" s="9" t="n">
        <v>8</v>
      </c>
    </row>
    <row r="10" ht="70" customHeight="1">
      <c r="A10" s="21" t="inlineStr">
        <is>
          <t>M06</t>
        </is>
      </c>
      <c r="B10" s="14" t="inlineStr">
        <is>
          <t>LIA (Legitimate Interest Assessment)</t>
        </is>
      </c>
      <c r="C10" s="5" t="inlineStr">
        <is>
          <t>"Kepentingan yang sah" bukan cek kosong</t>
        </is>
      </c>
      <c r="D10" s="9" t="inlineStr">
        <is>
          <t>45 dtk</t>
        </is>
      </c>
      <c r="E10" s="9" t="inlineStr">
        <is>
          <t>Logika dipatahkan</t>
        </is>
      </c>
      <c r="F10" s="5" t="inlineStr">
        <is>
          <t>"Kan kita punya kepentingan yang sah." Kalimat ini bukan tiket bebas.</t>
        </is>
      </c>
      <c r="G10" s="5" t="inlineStr">
        <is>
          <t>Marketing, product, legal</t>
        </is>
      </c>
      <c r="H10" s="5" t="inlineStr">
        <is>
          <t>Serius</t>
        </is>
      </c>
      <c r="I10" s="5" t="inlineStr">
        <is>
          <t>Kepentingan sah harus ditimbang &amp; didokumentasikan</t>
        </is>
      </c>
      <c r="J10" s="5" t="inlineStr">
        <is>
          <t>Schedule Demo · privasimu.com · support@privasimu.com · 0851 8318 2722</t>
        </is>
      </c>
      <c r="K10" s="5" t="inlineStr">
        <is>
          <t>UU PDP Ps. 20 ayat (2) huruf f; modul LIA (katalog modul); status Draft/Submitted/Checked/Approved (aplikasi)</t>
        </is>
      </c>
      <c r="L10" s="24" t="inlineStr">
        <is>
          <t>PERLU SCREENSHOT BARU</t>
        </is>
      </c>
      <c r="M10" s="9" t="n">
        <v>5</v>
      </c>
    </row>
    <row r="11" ht="70" customHeight="1">
      <c r="A11" s="21" t="inlineStr">
        <is>
          <t>M07</t>
        </is>
      </c>
      <c r="B11" s="14" t="inlineStr">
        <is>
          <t>DSR (Permohonan Hak Subjek Data)</t>
        </is>
      </c>
      <c r="C11" s="5" t="inlineStr">
        <is>
          <t>72 jam itu cepat. Apalagi kalau dihitung manual.</t>
        </is>
      </c>
      <c r="D11" s="9" t="inlineStr">
        <is>
          <t>60 dtk</t>
        </is>
      </c>
      <c r="E11" s="9" t="inlineStr">
        <is>
          <t>Relate</t>
        </is>
      </c>
      <c r="F11" s="5" t="inlineStr">
        <is>
          <t>Email yang paling ditakuti customer service: "Tolong hapus semua data saya."</t>
        </is>
      </c>
      <c r="G11" s="5" t="inlineStr">
        <is>
          <t>CS, DPO, IT</t>
        </is>
      </c>
      <c r="H11" s="5" t="inlineStr">
        <is>
          <t>Relatable → serius</t>
        </is>
      </c>
      <c r="I11" s="5" t="inlineStr">
        <is>
          <t>Permohonan tercatat, tenggat otomatis, eksekusi &amp; sertifikat</t>
        </is>
      </c>
      <c r="J11" s="5" t="inlineStr">
        <is>
          <t>Schedule Demo · privasimu.com · support@privasimu.com · 0851 8318 2722</t>
        </is>
      </c>
      <c r="K11" s="5" t="inlineStr">
        <is>
          <t>fakta_produk: dsr (formulir sematan, tenggat 72 jam, verifikasi, Handler/Reviewer/Approver, draf AI, API/webhook); layar SQL Pack &amp; sertifikat di aplikasi</t>
        </is>
      </c>
      <c r="L11" s="22" t="inlineStr">
        <is>
          <t>Siap (hindari daftar aplikasi ber-merek)</t>
        </is>
      </c>
      <c r="M11" s="9" t="n">
        <v>9</v>
      </c>
    </row>
    <row r="12" ht="70" customHeight="1">
      <c r="A12" s="21" t="inlineStr">
        <is>
          <t>M08</t>
        </is>
      </c>
      <c r="B12" s="14" t="inlineStr">
        <is>
          <t>Consent &amp; Cookie</t>
        </is>
      </c>
      <c r="C12" s="5" t="inlineStr">
        <is>
          <t>Klik "Setuju" tanpa bukti = tidak pernah setuju</t>
        </is>
      </c>
      <c r="D12" s="9" t="inlineStr">
        <is>
          <t>60 dtk</t>
        </is>
      </c>
      <c r="E12" s="9" t="inlineStr">
        <is>
          <t>Logika dipatahkan</t>
        </is>
      </c>
      <c r="F12" s="5" t="inlineStr">
        <is>
          <t>Pelanggan sudah klik "Setuju". Pertanyaannya: bisa kamu buktikan?</t>
        </is>
      </c>
      <c r="G12" s="5" t="inlineStr">
        <is>
          <t>Marketing, product, DPO</t>
        </is>
      </c>
      <c r="H12" s="5" t="inlineStr">
        <is>
          <t>Serius</t>
        </is>
      </c>
      <c r="I12" s="5" t="inlineStr">
        <is>
          <t>Persetujuan tercatat beserta bukti, penarikan menyebar ke semua sistem</t>
        </is>
      </c>
      <c r="J12" s="5" t="inlineStr">
        <is>
          <t>Schedule Demo · privasimu.com · support@privasimu.com · 0851 8318 2722</t>
        </is>
      </c>
      <c r="K12" s="5" t="inlineStr">
        <is>
          <t>fakta_produk: consent (titik per kanal, banner &amp; pusat preferensi, log + bukti, penarikan via API/webhook)</t>
        </is>
      </c>
      <c r="L12" s="23" t="inlineStr">
        <is>
          <t>Siap (blur domain/URL; cookie hanya KPI)</t>
        </is>
      </c>
      <c r="M12" s="9" t="n">
        <v>8</v>
      </c>
    </row>
    <row r="13" ht="70" customHeight="1">
      <c r="A13" s="21" t="inlineStr">
        <is>
          <t>M09</t>
        </is>
      </c>
      <c r="B13" s="14" t="inlineStr">
        <is>
          <t>Children Pro (persetujuan wali)</t>
        </is>
      </c>
      <c r="C13" s="5" t="inlineStr">
        <is>
          <t>Pengguna termuda juga butuh izin (walinya)</t>
        </is>
      </c>
      <c r="D13" s="9" t="inlineStr">
        <is>
          <t>45 dtk</t>
        </is>
      </c>
      <c r="E13" s="9" t="inlineStr">
        <is>
          <t>Anomali</t>
        </is>
      </c>
      <c r="F13" s="5" t="inlineStr">
        <is>
          <t>Pengguna paling setia aplikasimu… mungkin masih kelas 5 SD.</t>
        </is>
      </c>
      <c r="G13" s="5" t="inlineStr">
        <is>
          <t>Edtech, game, sekolah, kesehatan anak</t>
        </is>
      </c>
      <c r="H13" s="5" t="inlineStr">
        <is>
          <t>Serius, hangat</t>
        </is>
      </c>
      <c r="I13" s="5" t="inlineStr">
        <is>
          <t>Persetujuan wali, verifikasi, peralihan saat 18 tahun</t>
        </is>
      </c>
      <c r="J13" s="5" t="inlineStr">
        <is>
          <t>Schedule Demo · privasimu.com · support@privasimu.com · 0851 8318 2722</t>
        </is>
      </c>
      <c r="K13" s="5" t="inlineStr">
        <is>
          <t>UU PDP Ps. 4 (2) e (data anak = spesifik); PP 33/2026 Ps. 38 (termasuk peralihan saat 18 tahun); fakta_produk: consent (Children Pro)</t>
        </is>
      </c>
      <c r="L13" s="23" t="inlineStr">
        <is>
          <t>Header siap; data perlu screenshot baru</t>
        </is>
      </c>
      <c r="M13" s="9" t="n">
        <v>6</v>
      </c>
    </row>
    <row r="14" ht="70" customHeight="1">
      <c r="A14" s="21" t="inlineStr">
        <is>
          <t>M10</t>
        </is>
      </c>
      <c r="B14" s="14" t="inlineStr">
        <is>
          <t>Inclusive Privacy</t>
        </is>
      </c>
      <c r="C14" s="5" t="inlineStr">
        <is>
          <t>Persetujuan yang bisa dipahami semua orang</t>
        </is>
      </c>
      <c r="D14" s="9" t="inlineStr">
        <is>
          <t>45 dtk</t>
        </is>
      </c>
      <c r="E14" s="9" t="inlineStr">
        <is>
          <t>Reverse psychology</t>
        </is>
      </c>
      <c r="F14" s="5" t="inlineStr">
        <is>
          <t>Coba setujui syarat &amp; ketentuan ini… dengan mata tertutup.</t>
        </is>
      </c>
      <c r="G14" s="5" t="inlineStr">
        <is>
          <t>Layanan publik, bank, kesehatan, telko</t>
        </is>
      </c>
      <c r="H14" s="5" t="inlineStr">
        <is>
          <t>Serius, empatik</t>
        </is>
      </c>
      <c r="I14" s="5" t="inlineStr">
        <is>
          <t>Persetujuan aksesibel bagi penyandang disabilitas</t>
        </is>
      </c>
      <c r="J14" s="5" t="inlineStr">
        <is>
          <t>Schedule Demo · privasimu.com · support@privasimu.com · 0851 8318 2722</t>
        </is>
      </c>
      <c r="K14" s="5" t="inlineStr">
        <is>
          <t>fakta_produk: consent (Inclusive Privacy); PP 33/2026 Ps. 39 (katalog modul, VERIFIKASI bunyi pasal)</t>
        </is>
      </c>
      <c r="L14" s="23" t="inlineStr">
        <is>
          <t>Header siap; data perlu screenshot baru</t>
        </is>
      </c>
      <c r="M14" s="9" t="n">
        <v>5</v>
      </c>
    </row>
    <row r="15" ht="70" customHeight="1">
      <c r="A15" s="21" t="inlineStr">
        <is>
          <t>M11</t>
        </is>
      </c>
      <c r="B15" s="14" t="inlineStr">
        <is>
          <t>Manajemen Insiden (Data Breach)</t>
        </is>
      </c>
      <c r="C15" s="5" t="inlineStr">
        <is>
          <t>Jam 3 pagi, notifikasi masuk</t>
        </is>
      </c>
      <c r="D15" s="9" t="inlineStr">
        <is>
          <t>60 dtk</t>
        </is>
      </c>
      <c r="E15" s="9" t="inlineStr">
        <is>
          <t>Relate</t>
        </is>
      </c>
      <c r="F15" s="5" t="inlineStr">
        <is>
          <t>Jam 3 pagi. Notifikasi ini masuk: "Dugaan kebocoran data."</t>
        </is>
      </c>
      <c r="G15" s="5" t="inlineStr">
        <is>
          <t>DPO, CISO, IT security</t>
        </is>
      </c>
      <c r="H15" s="5" t="inlineStr">
        <is>
          <t>Tegang → tenang</t>
        </is>
      </c>
      <c r="I15" s="5" t="inlineStr">
        <is>
          <t>Alur 5 fase siap sejak insiden dicatat, templat &amp; hitung mundur 3×24 jam</t>
        </is>
      </c>
      <c r="J15" s="5" t="inlineStr">
        <is>
          <t>Schedule Demo · privasimu.com · support@privasimu.com · 0851 8318 2722</t>
        </is>
      </c>
      <c r="K15" s="5" t="inlineStr">
        <is>
          <t>UU PDP Ps. 46 jo. PP 33/2026 Ps. 114; fakta_produk: breach (checklist &amp; linimasa otomatis, hitung mundur 3×24 jam, RACI, templat, AI)</t>
        </is>
      </c>
      <c r="L15" s="22" t="inlineStr">
        <is>
          <t>Siap</t>
        </is>
      </c>
      <c r="M15" s="9" t="n">
        <v>8</v>
      </c>
    </row>
    <row r="16" ht="70" customHeight="1">
      <c r="A16" s="21" t="inlineStr">
        <is>
          <t>M12</t>
        </is>
      </c>
      <c r="B16" s="14" t="inlineStr">
        <is>
          <t>Simulasi &amp; Fire Drill</t>
        </is>
      </c>
      <c r="C16" s="5" t="inlineStr">
        <is>
          <t>Latihan kebakaran ada. Latihan kebocoran data?</t>
        </is>
      </c>
      <c r="D16" s="9" t="inlineStr">
        <is>
          <t>45 dtk</t>
        </is>
      </c>
      <c r="E16" s="9" t="inlineStr">
        <is>
          <t>Logika dipatahkan</t>
        </is>
      </c>
      <c r="F16" s="5" t="inlineStr">
        <is>
          <t>Kantor rutin latihan kebakaran. Latihan kebocoran data? …hening.</t>
        </is>
      </c>
      <c r="G16" s="5" t="inlineStr">
        <is>
          <t>CISO, DPO, HR</t>
        </is>
      </c>
      <c r="H16" s="5" t="inlineStr">
        <is>
          <t>Serius dengan sentilan</t>
        </is>
      </c>
      <c r="I16" s="5" t="inlineStr">
        <is>
          <t>Latih tim lewat skenario &amp; rubrik sebelum insiden sungguhan</t>
        </is>
      </c>
      <c r="J16" s="5" t="inlineStr">
        <is>
          <t>Konsultasi dengan Privasimu · privasimu.com · support@privasimu.com · 0851 8318 2722</t>
        </is>
      </c>
      <c r="K16" s="5" t="inlineStr">
        <is>
          <t>fakta_produk: simulasi (kuis, tabletop, walkthrough, skenario AI, rubrik &amp; tindak lanjut)</t>
        </is>
      </c>
      <c r="L16" s="23" t="inlineStr">
        <is>
          <t>Siap (crop kartu skor, blur user)</t>
        </is>
      </c>
      <c r="M16" s="9" t="n">
        <v>6</v>
      </c>
    </row>
    <row r="17" ht="70" customHeight="1">
      <c r="A17" s="21" t="inlineStr">
        <is>
          <t>M13</t>
        </is>
      </c>
      <c r="B17" s="14" t="inlineStr">
        <is>
          <t>Manajemen Risiko Pihak Ketiga (TPRM)</t>
        </is>
      </c>
      <c r="C17" s="5" t="inlineStr">
        <is>
          <t>Datamu aman. Data di pihak ketigamu?</t>
        </is>
      </c>
      <c r="D17" s="9" t="inlineStr">
        <is>
          <t>60 dtk</t>
        </is>
      </c>
      <c r="E17" s="9" t="inlineStr">
        <is>
          <t>Anomali</t>
        </is>
      </c>
      <c r="F17" s="5" t="inlineStr">
        <is>
          <t>Kebocoran bisa lewat pintu yang bukan milikmu.</t>
        </is>
      </c>
      <c r="G17" s="5" t="inlineStr">
        <is>
          <t>Procurement, DPO, legal</t>
        </is>
      </c>
      <c r="H17" s="5" t="inlineStr">
        <is>
          <t>Serius</t>
        </is>
      </c>
      <c r="I17" s="5" t="inlineStr">
        <is>
          <t>Petakan, nilai, dan pantau pihak ketiga yang memproses data</t>
        </is>
      </c>
      <c r="J17" s="5" t="inlineStr">
        <is>
          <t>Schedule Demo · privasimu.com · support@privasimu.com · 0851 8318 2722</t>
        </is>
      </c>
      <c r="K17" s="5" t="inlineStr">
        <is>
          <t>fakta_produk: pihak ketiga (kuesioner via tautan tanpa akun, skor risiko, analisis bukti AI, keterkaitan RoPA &amp; kontrak); template 56 pertanyaan di aplikasi</t>
        </is>
      </c>
      <c r="L17" s="23" t="inlineStr">
        <is>
          <t>Siap (blur PIC &amp; website)</t>
        </is>
      </c>
      <c r="M17" s="9" t="n">
        <v>8</v>
      </c>
    </row>
    <row r="18" ht="70" customHeight="1">
      <c r="A18" s="21" t="inlineStr">
        <is>
          <t>M14</t>
        </is>
      </c>
      <c r="B18" s="14" t="inlineStr">
        <is>
          <t>Transfer Data Lintas Negara &amp; TIA</t>
        </is>
      </c>
      <c r="C18" s="5" t="inlineStr">
        <is>
          <t>"Di cloud" bukan jawaban lokasi</t>
        </is>
      </c>
      <c r="D18" s="9" t="inlineStr">
        <is>
          <t>50 dtk</t>
        </is>
      </c>
      <c r="E18" s="9" t="inlineStr">
        <is>
          <t>Logika dipatahkan</t>
        </is>
      </c>
      <c r="F18" s="5" t="inlineStr">
        <is>
          <t>"Datanya di mana?" "Di cloud." "Cloud-nya di negara mana?" …</t>
        </is>
      </c>
      <c r="G18" s="5" t="inlineStr">
        <is>
          <t>IT, legal, DPO</t>
        </is>
      </c>
      <c r="H18" s="5" t="inlineStr">
        <is>
          <t>Relatable → serius</t>
        </is>
      </c>
      <c r="I18" s="5" t="inlineStr">
        <is>
          <t>Register transfer + Transfer Impact Assessment</t>
        </is>
      </c>
      <c r="J18" s="5" t="inlineStr">
        <is>
          <t>Schedule Demo · privasimu.com · support@privasimu.com · 0851 8318 2722</t>
        </is>
      </c>
      <c r="K18" s="5" t="inlineStr">
        <is>
          <t>fakta_produk: transfer lintas negara (register, TIA, pemetaan setara/memadai); subjudul TIA di aplikasi menyebut UU PDP Ps. 56 (VERIFIKASI bunyi pasal)</t>
        </is>
      </c>
      <c r="L18" s="23" t="inlineStr">
        <is>
          <t>Siap (blur nama entitas)</t>
        </is>
      </c>
      <c r="M18" s="9" t="n">
        <v>6</v>
      </c>
    </row>
    <row r="19" ht="70" customHeight="1">
      <c r="A19" s="21" t="inlineStr">
        <is>
          <t>M15</t>
        </is>
      </c>
      <c r="B19" s="14" t="inlineStr">
        <is>
          <t>Data Discovery &amp; Mapping</t>
        </is>
      </c>
      <c r="C19" s="5" t="inlineStr">
        <is>
          <t>Yang paling berisiko: data yang tak kamu tahu ada</t>
        </is>
      </c>
      <c r="D19" s="9" t="inlineStr">
        <is>
          <t>50 dtk</t>
        </is>
      </c>
      <c r="E19" s="9" t="inlineStr">
        <is>
          <t>Logika dipatahkan</t>
        </is>
      </c>
      <c r="F19" s="5" t="inlineStr">
        <is>
          <t>Data paling berisiko bukan yang paling sensitif… tapi yang tidak kamu tahu ada.</t>
        </is>
      </c>
      <c r="G19" s="5" t="inlineStr">
        <is>
          <t>IT, data engineer, DPO</t>
        </is>
      </c>
      <c r="H19" s="5" t="inlineStr">
        <is>
          <t>Serius</t>
        </is>
      </c>
      <c r="I19" s="5" t="inlineStr">
        <is>
          <t>Temukan &amp; klasifikasi data pribadi di semua sistem</t>
        </is>
      </c>
      <c r="J19" s="5" t="inlineStr">
        <is>
          <t>Schedule Demo · privasimu.com · support@privasimu.com · 0851 8318 2722</t>
        </is>
      </c>
      <c r="K19" s="5" t="inlineStr">
        <is>
          <t>fakta_produk: data discovery (katalog sistem, pemindaian kolom umum/spesifik, tautan ke RoPA, pencarian data satu subjek untuk DSR)</t>
        </is>
      </c>
      <c r="L19" s="23" t="inlineStr">
        <is>
          <t>Siap; hasil scan per orang perlu screenshot baru</t>
        </is>
      </c>
      <c r="M19" s="9" t="n">
        <v>7</v>
      </c>
    </row>
    <row r="20" ht="70" customHeight="1">
      <c r="A20" s="21" t="inlineStr">
        <is>
          <t>M16</t>
        </is>
      </c>
      <c r="B20" s="14" t="inlineStr">
        <is>
          <t>Telaah Kebijakan &amp; Policy Generator</t>
        </is>
      </c>
      <c r="C20" s="5" t="inlineStr">
        <is>
          <t>Kebijakanmu lebih tua dari UU PDP?</t>
        </is>
      </c>
      <c r="D20" s="9" t="inlineStr">
        <is>
          <t>55 dtk</t>
        </is>
      </c>
      <c r="E20" s="9" t="inlineStr">
        <is>
          <t>Anomali</t>
        </is>
      </c>
      <c r="F20" s="5" t="inlineStr">
        <is>
          <t>Kebijakan privasi di situsmu mungkin lebih tua dari UU PDP.</t>
        </is>
      </c>
      <c r="G20" s="5" t="inlineStr">
        <is>
          <t>Legal, DPO</t>
        </is>
      </c>
      <c r="H20" s="5" t="inlineStr">
        <is>
          <t>Serius</t>
        </is>
      </c>
      <c r="I20" s="5" t="inlineStr">
        <is>
          <t>Telaah per bab terhadap UU PDP &amp; PP 33, susun draf baru</t>
        </is>
      </c>
      <c r="J20" s="5" t="inlineStr">
        <is>
          <t>Konsultasi dengan Privasimu · privasimu.com · support@privasimu.com · 0851 8318 2722</t>
        </is>
      </c>
      <c r="K20" s="5" t="inlineStr">
        <is>
          <t>fakta_produk: telaah kebijakan (per bab, pasal dari knowledge base bukan ditulis AI, harmonisasi, bisa disunting konsultan); Policy Generator (katalog modul)</t>
        </is>
      </c>
      <c r="L20" s="22" t="inlineStr">
        <is>
          <t>Siap (pakai UI terbaru)</t>
        </is>
      </c>
      <c r="M20" s="9" t="n">
        <v>7</v>
      </c>
    </row>
    <row r="21" ht="70" customHeight="1">
      <c r="A21" s="21" t="inlineStr">
        <is>
          <t>M17</t>
        </is>
      </c>
      <c r="B21" s="14" t="inlineStr">
        <is>
          <t>Telaah Kontrak &amp; Document Maker</t>
        </is>
      </c>
      <c r="C21" s="5" t="inlineStr">
        <is>
          <t>Kontrak diteken ≠ data aman</t>
        </is>
      </c>
      <c r="D21" s="9" t="inlineStr">
        <is>
          <t>55 dtk</t>
        </is>
      </c>
      <c r="E21" s="9" t="inlineStr">
        <is>
          <t>Logika dipatahkan</t>
        </is>
      </c>
      <c r="F21" s="5" t="inlineStr">
        <is>
          <t>Kontrak sudah ditandatangani… bukan berarti datanya aman.</t>
        </is>
      </c>
      <c r="G21" s="5" t="inlineStr">
        <is>
          <t>Legal, procurement</t>
        </is>
      </c>
      <c r="H21" s="5" t="inlineStr">
        <is>
          <t>Serius</t>
        </is>
      </c>
      <c r="I21" s="5" t="inlineStr">
        <is>
          <t>Telaah DPA/kontrak per pasal, susun dokumen baru</t>
        </is>
      </c>
      <c r="J21" s="5" t="inlineStr">
        <is>
          <t>Konsultasi dengan Privasimu · privasimu.com · support@privasimu.com · 0851 8318 2722</t>
        </is>
      </c>
      <c r="K21" s="5" t="inlineStr">
        <is>
          <t>fakta_produk: telaah kontrak (DPA, kontrak pihak ketiga, NDA, kontrak pelanggan; pasal diverifikasi ke KB; rekomendasi klausul); Document Maker (katalog modul, unduh PDF/DOCX tampak di aplikasi)</t>
        </is>
      </c>
      <c r="L21" s="22" t="inlineStr">
        <is>
          <t>Siap (pakai UI terbaru)</t>
        </is>
      </c>
      <c r="M21" s="9" t="n">
        <v>6</v>
      </c>
    </row>
    <row r="22" ht="70" customHeight="1">
      <c r="A22" s="21" t="inlineStr">
        <is>
          <t>M18</t>
        </is>
      </c>
      <c r="B22" s="14" t="inlineStr">
        <is>
          <t>Document Import (AI)</t>
        </is>
      </c>
      <c r="C22" s="5" t="inlineStr">
        <is>
          <t>Jangan ketik ulang 200 dokumen</t>
        </is>
      </c>
      <c r="D22" s="9" t="inlineStr">
        <is>
          <t>40 dtk</t>
        </is>
      </c>
      <c r="E22" s="9" t="inlineStr">
        <is>
          <t>Reverse psychology</t>
        </is>
      </c>
      <c r="F22" s="5" t="inlineStr">
        <is>
          <t>Silakan ketik ulang 200 dokumen RoPA-mu satu per satu… atau jangan.</t>
        </is>
      </c>
      <c r="G22" s="5" t="inlineStr">
        <is>
          <t>DPO, admin kepatuhan</t>
        </is>
      </c>
      <c r="H22" s="5" t="inlineStr">
        <is>
          <t>Ringan</t>
        </is>
      </c>
      <c r="I22" s="5" t="inlineStr">
        <is>
          <t>Migrasi dokumen lama dengan AI</t>
        </is>
      </c>
      <c r="J22" s="5" t="inlineStr">
        <is>
          <t>Schedule Demo · privasimu.com · support@privasimu.com · 0851 8318 2722</t>
        </is>
      </c>
      <c r="K22" s="5" t="inlineStr">
        <is>
          <t>Subjudul aplikasi: "Upload dokumen RoPA/DPIA → AI analisis otomatis → auto-mapping ke database"; format .docx .xlsx .csv .pdf, maks 20 file per batch (tampak di layar)</t>
        </is>
      </c>
      <c r="L22" s="22" t="inlineStr">
        <is>
          <t>Siap</t>
        </is>
      </c>
      <c r="M22" s="9" t="n">
        <v>5</v>
      </c>
    </row>
    <row r="23" ht="70" customHeight="1">
      <c r="A23" s="21" t="inlineStr">
        <is>
          <t>M19</t>
        </is>
      </c>
      <c r="B23" s="14" t="inlineStr">
        <is>
          <t>Priva: Asisten AI DPO &amp; Knowledge Base</t>
        </is>
      </c>
      <c r="C23" s="5" t="inlineStr">
        <is>
          <t>AI yang tidak mengarang pasal</t>
        </is>
      </c>
      <c r="D23" s="9" t="inlineStr">
        <is>
          <t>50 dtk</t>
        </is>
      </c>
      <c r="E23" s="9" t="inlineStr">
        <is>
          <t>Logika dipatahkan</t>
        </is>
      </c>
      <c r="F23" s="5" t="inlineStr">
        <is>
          <t>AI paling berguna untuk DPO bukan yang paling kreatif… tapi yang tidak mengarang pasal.</t>
        </is>
      </c>
      <c r="G23" s="5" t="inlineStr">
        <is>
          <t>DPO, legal</t>
        </is>
      </c>
      <c r="H23" s="5" t="inlineStr">
        <is>
          <t>Serius</t>
        </is>
      </c>
      <c r="I23" s="5" t="inlineStr">
        <is>
          <t>Asisten AI berbasis knowledge base, aksi tercatat</t>
        </is>
      </c>
      <c r="J23" s="5" t="inlineStr">
        <is>
          <t>Schedule Demo · privasimu.com · support@privasimu.com · 0851 8318 2722</t>
        </is>
      </c>
      <c r="K23" s="5" t="inlineStr">
        <is>
          <t>fakta_produk: dukungan PPDP (Asisten AI Priva menjawab berdasarkan knowledge base platform; log audit manusia &amp; AI); UU PDP 76 pasal (knowledge base)</t>
        </is>
      </c>
      <c r="L23" s="22" t="inlineStr">
        <is>
          <t>Siap</t>
        </is>
      </c>
      <c r="M23" s="9" t="n">
        <v>7</v>
      </c>
    </row>
    <row r="24" ht="70" customHeight="1">
      <c r="A24" s="21" t="inlineStr">
        <is>
          <t>M20</t>
        </is>
      </c>
      <c r="B24" s="14" t="inlineStr">
        <is>
          <t>Dukungan PPDP &amp; Paparan Sanksi</t>
        </is>
      </c>
      <c r="C24" s="5" t="inlineStr">
        <is>
          <t>Siapa DPO di kantor ini?</t>
        </is>
      </c>
      <c r="D24" s="9" t="inlineStr">
        <is>
          <t>50 dtk</t>
        </is>
      </c>
      <c r="E24" s="9" t="inlineStr">
        <is>
          <t>Relate</t>
        </is>
      </c>
      <c r="F24" s="5" t="inlineStr">
        <is>
          <t>"Siapa DPO di kantor ini?" Semua menunjuk… ke orang yang sedang cuti.</t>
        </is>
      </c>
      <c r="G24" s="5" t="inlineStr">
        <is>
          <t>Direksi, HR, DPO</t>
        </is>
      </c>
      <c r="H24" s="5" t="inlineStr">
        <is>
          <t>Relatable → serius</t>
        </is>
      </c>
      <c r="I24" s="5" t="inlineStr">
        <is>
          <t>Tunjuk, dukung, dan pantau paparan sanksi</t>
        </is>
      </c>
      <c r="J24" s="5" t="inlineStr">
        <is>
          <t>Konsultasi dengan Privasimu · privasimu.com · support@privasimu.com · 0851 8318 2722</t>
        </is>
      </c>
      <c r="K24" s="5" t="inlineStr">
        <is>
          <t>UU PDP Ps. 53 (kewajiban penunjukan), Ps. 54 (tugas), Ps. 57 (sanksi administratif, denda s.d. 2%); fakta_produk: dukungan PPDP &amp; paparan sanksi</t>
        </is>
      </c>
      <c r="L24" s="24" t="inlineStr">
        <is>
          <t>PERLU SCREENSHOT BARU (/ppdp &amp; paparan sanksi)</t>
        </is>
      </c>
      <c r="M24" s="9" t="n">
        <v>6</v>
      </c>
    </row>
    <row r="25" ht="70" customHeight="1">
      <c r="A25" s="21" t="inlineStr">
        <is>
          <t>M21</t>
        </is>
      </c>
      <c r="B25" s="14" t="inlineStr">
        <is>
          <t>Holding (Asesmen &amp; Dasbor Grup)</t>
        </is>
      </c>
      <c r="C25" s="5" t="inlineStr">
        <is>
          <t>1 grup, 12 definisi "patuh"</t>
        </is>
      </c>
      <c r="D25" s="9" t="inlineStr">
        <is>
          <t>50 dtk</t>
        </is>
      </c>
      <c r="E25" s="9" t="inlineStr">
        <is>
          <t>Anomali</t>
        </is>
      </c>
      <c r="F25" s="5" t="inlineStr">
        <is>
          <t>1 grup usaha. 12 anak perusahaan. 12 definisi "patuh".</t>
        </is>
      </c>
      <c r="G25" s="5" t="inlineStr">
        <is>
          <t>Holding, BUMN/grup swasta</t>
        </is>
      </c>
      <c r="H25" s="5" t="inlineStr">
        <is>
          <t>Serius</t>
        </is>
      </c>
      <c r="I25" s="5" t="inlineStr">
        <is>
          <t>Satu standar kepatuhan untuk seluruh grup</t>
        </is>
      </c>
      <c r="J25" s="5" t="inlineStr">
        <is>
          <t>Konsultasi dengan Privasimu · privasimu.com · support@privasimu.com · 0851 8318 2722</t>
        </is>
      </c>
      <c r="K25" s="5" t="inlineStr">
        <is>
          <t>Katalog modul: holding-assessment, review, dashboard; asesmen holding via tautan publik</t>
        </is>
      </c>
      <c r="L25" s="23" t="inlineStr">
        <is>
          <t>KPI siap; skor per entitas perlu screenshot baru</t>
        </is>
      </c>
      <c r="M25" s="9" t="n">
        <v>6</v>
      </c>
    </row>
    <row r="26" ht="70" customHeight="1">
      <c r="A26" s="21" t="inlineStr">
        <is>
          <t>M22</t>
        </is>
      </c>
      <c r="B26" s="14" t="inlineStr">
        <is>
          <t>DPO Academy (LMS)</t>
        </is>
      </c>
      <c r="C26" s="5" t="inlineStr">
        <is>
          <t>Jangan ambil kelas ini kalau…</t>
        </is>
      </c>
      <c r="D26" s="9" t="inlineStr">
        <is>
          <t>45 dtk</t>
        </is>
      </c>
      <c r="E26" s="9" t="inlineStr">
        <is>
          <t>Reverse psychology</t>
        </is>
      </c>
      <c r="F26" s="5" t="inlineStr">
        <is>
          <t>Jangan ambil kelas ini… kalau kamu sudah hafal 76 pasal UU PDP.</t>
        </is>
      </c>
      <c r="G26" s="5" t="inlineStr">
        <is>
          <t>DPO/PPDP baru, tim legal &amp; kepatuhan</t>
        </is>
      </c>
      <c r="H26" s="5" t="inlineStr">
        <is>
          <t>Ringan</t>
        </is>
      </c>
      <c r="I26" s="5" t="inlineStr">
        <is>
          <t>Jalur belajar DPO + pendampingan konsultan</t>
        </is>
      </c>
      <c r="J26" s="5" t="inlineStr">
        <is>
          <t>Konsultasi dengan Privasimu · privasimu.com · support@privasimu.com · 0851 8318 2722</t>
        </is>
      </c>
      <c r="K26" s="5" t="inlineStr">
        <is>
          <t>Tampilan DPO Academy: 4 kursus (Kepatuhan UU PDP Fundamentals, Manajemen Risiko, Audit Kepatuhan, Tata Kelola), lencana, sertifikat; UU PDP 76 pasal</t>
        </is>
      </c>
      <c r="L26" s="23" t="inlineStr">
        <is>
          <t>Siap (blur nama pengguna)</t>
        </is>
      </c>
      <c r="M26" s="9" t="n">
        <v>6</v>
      </c>
    </row>
  </sheetData>
  <autoFilter ref="A4:M26"/>
  <mergeCells count="1">
    <mergeCell ref="A2:M2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11" customWidth="1" min="4" max="4"/>
    <col width="30" customWidth="1" min="5" max="5"/>
    <col width="40" customWidth="1" min="6" max="6"/>
    <col width="40" customWidth="1" min="7" max="7"/>
    <col width="30" customWidth="1" min="8" max="8"/>
    <col width="46" customWidth="1" min="9" max="9"/>
    <col width="16" customWidth="1" min="10" max="10"/>
  </cols>
  <sheetData>
    <row r="1">
      <c r="A1" s="10" t="inlineStr">
        <is>
          <t>Flow per modul: 1 modul = 1 video</t>
        </is>
      </c>
    </row>
    <row r="2" ht="46" customHeight="1">
      <c r="A2" s="2" t="inlineStr">
        <is>
          <t>Setiap blok = satu video. Kolom Screenshot berisi path relatif dari D:\AI\privasimu; kolom Crop/sorot/blur berisi koordinat [x, y, lebar, tinggi] pada gambar sumber. "BELUM ADA" = perlu ambil screenshot baru (lihat sheet Screenshot per Modul).</t>
        </is>
      </c>
    </row>
    <row r="4" ht="34" customHeight="1">
      <c r="A4" s="3" t="inlineStr">
        <is>
          <t>Kode</t>
        </is>
      </c>
      <c r="B4" s="3" t="inlineStr">
        <is>
          <t>Adegan</t>
        </is>
      </c>
      <c r="C4" s="3" t="inlineStr">
        <is>
          <t>Waktu</t>
        </is>
      </c>
      <c r="D4" s="3" t="inlineStr">
        <is>
          <t>Tahap</t>
        </is>
      </c>
      <c r="E4" s="3" t="inlineStr">
        <is>
          <t>Visual</t>
        </is>
      </c>
      <c r="F4" s="3" t="inlineStr">
        <is>
          <t>Screenshot (path)</t>
        </is>
      </c>
      <c r="G4" s="3" t="inlineStr">
        <is>
          <t>Crop / sorot / blur</t>
        </is>
      </c>
      <c r="H4" s="3" t="inlineStr">
        <is>
          <t>Teks layar</t>
        </is>
      </c>
      <c r="I4" s="3" t="inlineStr">
        <is>
          <t>VO</t>
        </is>
      </c>
      <c r="J4" s="3" t="inlineStr">
        <is>
          <t>SFX</t>
        </is>
      </c>
    </row>
    <row r="5" ht="36" customHeight="1">
      <c r="A5" s="25" t="inlineStr">
        <is>
          <t>M01 · Dasbor Kepatuhan &amp; Postur Privasi · "Laporan terbaik bukan yang paling tebal" · 50 dtk · Hook (Logika dipatahkan): Laporan kepatuhan terbaik bukan yang paling tebal… tapi yang bisa dipahami direksi dalam 10 detik.</t>
        </is>
      </c>
    </row>
    <row r="6" ht="58" customHeight="1">
      <c r="A6" s="11" t="inlineStr">
        <is>
          <t>M01</t>
        </is>
      </c>
      <c r="B6" s="11" t="n">
        <v>1</v>
      </c>
      <c r="C6" s="11" t="inlineStr">
        <is>
          <t>00:00–00:04</t>
        </is>
      </c>
      <c r="D6" s="12" t="inlineStr">
        <is>
          <t>Hook</t>
        </is>
      </c>
      <c r="E6" s="13" t="inlineStr">
        <is>
          <t>Tumpukan laporan setebal bantal jatuh ke meja rapat, lalu dicoret merah</t>
        </is>
      </c>
      <c r="F6" s="13" t="inlineStr">
        <is>
          <t>—</t>
        </is>
      </c>
      <c r="G6" s="13" t="inlineStr">
        <is>
          <t>—</t>
        </is>
      </c>
      <c r="H6" s="13" t="inlineStr">
        <is>
          <t>Laporan kepatuhan terbaik bukan yang paling tebal.</t>
        </is>
      </c>
      <c r="I6" s="13" t="inlineStr">
        <is>
          <t>Laporan kepatuhan terbaik… bukan yang paling tebal.</t>
        </is>
      </c>
      <c r="J6" s="13" t="inlineStr">
        <is>
          <t>impact + record scratch</t>
        </is>
      </c>
    </row>
    <row r="7" ht="58" customHeight="1">
      <c r="A7" s="11" t="inlineStr">
        <is>
          <t>M01</t>
        </is>
      </c>
      <c r="B7" s="11" t="n">
        <v>2</v>
      </c>
      <c r="C7" s="11" t="inlineStr">
        <is>
          <t>00:04–00:09</t>
        </is>
      </c>
      <c r="D7" s="12" t="inlineStr">
        <is>
          <t>Twist</t>
        </is>
      </c>
      <c r="E7" s="13" t="inlineStr">
        <is>
          <t>Jam 10 detik berjalan, direksi melirik jam</t>
        </is>
      </c>
      <c r="F7" s="13" t="inlineStr">
        <is>
          <t>—</t>
        </is>
      </c>
      <c r="G7" s="13" t="inlineStr">
        <is>
          <t>—</t>
        </is>
      </c>
      <c r="H7" s="13" t="inlineStr">
        <is>
          <t>…tapi yang bisa dipahami dalam 10 detik.</t>
        </is>
      </c>
      <c r="I7" s="13" t="inlineStr">
        <is>
          <t>Tapi yang bisa dipahami direksi dalam sepuluh detik.</t>
        </is>
      </c>
      <c r="J7" s="13" t="inlineStr">
        <is>
          <t>tick</t>
        </is>
      </c>
    </row>
    <row r="8" ht="58" customHeight="1">
      <c r="A8" s="9" t="inlineStr">
        <is>
          <t>M01</t>
        </is>
      </c>
      <c r="B8" s="9" t="n">
        <v>3</v>
      </c>
      <c r="C8" s="9" t="inlineStr">
        <is>
          <t>00:09–00:19</t>
        </is>
      </c>
      <c r="D8" s="14" t="inlineStr">
        <is>
          <t>Solusi</t>
        </is>
      </c>
      <c r="E8" s="5" t="inlineStr">
        <is>
          <t>Dasbor Nexus masuk dengan zoom halus</t>
        </is>
      </c>
      <c r="F8" s="5" t="inlineStr">
        <is>
          <t>motion/assets/app/dashboard.png</t>
        </is>
      </c>
      <c r="G8" s="5" t="inlineStr">
        <is>
          <t>Siap pakai. Sorot kartu skor GAP, DSR pending, insiden aktif</t>
        </is>
      </c>
      <c r="H8" s="5" t="inlineStr">
        <is>
          <t>Satu layar. Semua modul.</t>
        </is>
      </c>
      <c r="I8" s="5" t="inlineStr">
        <is>
          <t>Dasbor Privasimu Nexus merangkum kepatuhan lintas modul dalam satu layar.</t>
        </is>
      </c>
      <c r="J8" s="5" t="inlineStr">
        <is>
          <t>whoosh</t>
        </is>
      </c>
    </row>
    <row r="9" ht="58" customHeight="1">
      <c r="A9" s="9" t="inlineStr">
        <is>
          <t>M01</t>
        </is>
      </c>
      <c r="B9" s="9" t="n">
        <v>4</v>
      </c>
      <c r="C9" s="9" t="inlineStr">
        <is>
          <t>00:19–00:27</t>
        </is>
      </c>
      <c r="D9" s="14" t="inlineStr">
        <is>
          <t>Bukti</t>
        </is>
      </c>
      <c r="E9" s="5" t="inlineStr">
        <is>
          <t>Grafik tren &amp; Compliance Score</t>
        </is>
      </c>
      <c r="F9" s="5" t="inlineStr">
        <is>
          <t>motion/assets/app/dashboard-postur.png</t>
        </is>
      </c>
      <c r="G9" s="5" t="inlineStr">
        <is>
          <t>Siap pakai. Sorot lingkaran Compliance Score + garis tren</t>
        </is>
      </c>
      <c r="H9" s="5" t="inlineStr">
        <is>
          <t>Tren per modul, bukan tebakan</t>
        </is>
      </c>
      <c r="I9" s="5" t="inlineStr">
        <is>
          <t>Tren tiap modul dan skor kepatuhan terlihat dari data kerja harian, bukan tebakan.</t>
        </is>
      </c>
      <c r="J9" s="5" t="inlineStr">
        <is>
          <t>pop</t>
        </is>
      </c>
    </row>
    <row r="10" ht="58" customHeight="1">
      <c r="A10" s="9" t="inlineStr">
        <is>
          <t>M01</t>
        </is>
      </c>
      <c r="B10" s="9" t="n">
        <v>5</v>
      </c>
      <c r="C10" s="9" t="inlineStr">
        <is>
          <t>00:27–00:35</t>
        </is>
      </c>
      <c r="D10" s="14" t="inlineStr">
        <is>
          <t>Bukti</t>
        </is>
      </c>
      <c r="E10" s="5" t="inlineStr">
        <is>
          <t>Heatmap risiko</t>
        </is>
      </c>
      <c r="F10" s="5" t="inlineStr">
        <is>
          <t>motion/assets/app/dashboard-risiko.png</t>
        </is>
      </c>
      <c r="G10" s="5" t="inlineStr">
        <is>
          <t>Siap pakai. Sorot heatmap DPIA 5×5 + Top Risks</t>
        </is>
      </c>
      <c r="H10" s="5" t="inlineStr">
        <is>
          <t>Risiko teratas langsung kelihatan</t>
        </is>
      </c>
      <c r="I10" s="5" t="inlineStr">
        <is>
          <t>Risiko tertinggi langsung kelihatan: heatmap DPIA dan daftar risiko teratas.</t>
        </is>
      </c>
      <c r="J10" s="5" t="inlineStr">
        <is>
          <t>pop</t>
        </is>
      </c>
    </row>
    <row r="11" ht="58" customHeight="1">
      <c r="A11" s="9" t="inlineStr">
        <is>
          <t>M01</t>
        </is>
      </c>
      <c r="B11" s="9" t="n">
        <v>6</v>
      </c>
      <c r="C11" s="9" t="inlineStr">
        <is>
          <t>00:35–00:43</t>
        </is>
      </c>
      <c r="D11" s="14" t="inlineStr">
        <is>
          <t>Bukti</t>
        </is>
      </c>
      <c r="E11" s="5" t="inlineStr">
        <is>
          <t>Privacy Posture Score</t>
        </is>
      </c>
      <c r="F11" s="5" t="inlineStr">
        <is>
          <t>frontend/tmp/audit4/security.png</t>
        </is>
      </c>
      <c r="G11" s="5" t="inlineStr">
        <is>
          <t>Crop [200,40,1240,820]. Blur nama org [300,22,200,26]; buang sidebar (x&lt;200). Sorot skor 56 + tiga lapisan</t>
        </is>
      </c>
      <c r="H11" s="5" t="inlineStr">
        <is>
          <t>Postur privasi: data · proses · respons</t>
        </is>
      </c>
      <c r="I11" s="5" t="inlineStr">
        <is>
          <t>Postur privasi dihitung dari tiga lapisan: data, proses, dan respons.</t>
        </is>
      </c>
      <c r="J11" s="5" t="inlineStr">
        <is>
          <t>ding</t>
        </is>
      </c>
    </row>
    <row r="12" ht="58" customHeight="1">
      <c r="A12" s="18" t="inlineStr">
        <is>
          <t>M01</t>
        </is>
      </c>
      <c r="B12" s="18" t="n">
        <v>7</v>
      </c>
      <c r="C12" s="18" t="inlineStr">
        <is>
          <t>00:43–00:50</t>
        </is>
      </c>
      <c r="D12" s="19" t="inlineStr">
        <is>
          <t>CTA</t>
        </is>
      </c>
      <c r="E12" s="20" t="inlineStr">
        <is>
          <t>Logo Privasimu Nexus + tombol</t>
        </is>
      </c>
      <c r="F12" s="20" t="inlineStr">
        <is>
          <t>—</t>
        </is>
      </c>
      <c r="G12" s="20" t="inlineStr">
        <is>
          <t>—</t>
        </is>
      </c>
      <c r="H12" s="20" t="inlineStr">
        <is>
          <t>Rapat berikutnya: cukup satu layar.</t>
        </is>
      </c>
      <c r="I12" s="20" t="inlineStr">
        <is>
          <t>Privasimu Nexus. Kepatuhan yang bisa dibaca sekilas. Coba di privasimu dot com.</t>
        </is>
      </c>
      <c r="J12" s="20" t="inlineStr">
        <is>
          <t>sonic logo</t>
        </is>
      </c>
    </row>
    <row r="14" ht="36" customHeight="1">
      <c r="A14" s="25" t="inlineStr">
        <is>
          <t>M02 · GAP Assessment · "Jangan cek skor kepatuhanmu…" · 55 dtk · Hook (Reverse psychology): Jangan cek skor kepatuhan perusahaanmu… kalau belum siap kaget.</t>
        </is>
      </c>
    </row>
    <row r="15" ht="58" customHeight="1">
      <c r="A15" s="11" t="inlineStr">
        <is>
          <t>M02</t>
        </is>
      </c>
      <c r="B15" s="11" t="n">
        <v>1</v>
      </c>
      <c r="C15" s="11" t="inlineStr">
        <is>
          <t>00:00–00:04</t>
        </is>
      </c>
      <c r="D15" s="12" t="inlineStr">
        <is>
          <t>Hook</t>
        </is>
      </c>
      <c r="E15" s="13" t="inlineStr">
        <is>
          <t>Kursor mau klik "Mulai Assessment", lalu tangan menahan</t>
        </is>
      </c>
      <c r="F15" s="13" t="inlineStr">
        <is>
          <t>—</t>
        </is>
      </c>
      <c r="G15" s="13" t="inlineStr">
        <is>
          <t>—</t>
        </is>
      </c>
      <c r="H15" s="13" t="inlineStr">
        <is>
          <t>Jangan cek skor kepatuhanmu…</t>
        </is>
      </c>
      <c r="I15" s="13" t="inlineStr">
        <is>
          <t>Jangan cek skor kepatuhan perusahaanmu…</t>
        </is>
      </c>
      <c r="J15" s="13" t="inlineStr">
        <is>
          <t>hening</t>
        </is>
      </c>
    </row>
    <row r="16" ht="58" customHeight="1">
      <c r="A16" s="11" t="inlineStr">
        <is>
          <t>M02</t>
        </is>
      </c>
      <c r="B16" s="11" t="n">
        <v>2</v>
      </c>
      <c r="C16" s="11" t="inlineStr">
        <is>
          <t>00:04–00:08</t>
        </is>
      </c>
      <c r="D16" s="12" t="inlineStr">
        <is>
          <t>Hook</t>
        </is>
      </c>
      <c r="E16" s="13" t="inlineStr">
        <is>
          <t>Emoji 😬 membesar</t>
        </is>
      </c>
      <c r="F16" s="13" t="inlineStr">
        <is>
          <t>—</t>
        </is>
      </c>
      <c r="G16" s="13" t="inlineStr">
        <is>
          <t>—</t>
        </is>
      </c>
      <c r="H16" s="13" t="inlineStr">
        <is>
          <t>…kalau belum siap kaget.</t>
        </is>
      </c>
      <c r="I16" s="13" t="inlineStr">
        <is>
          <t>…kalau belum siap kaget.</t>
        </is>
      </c>
      <c r="J16" s="13" t="inlineStr">
        <is>
          <t>vine boom</t>
        </is>
      </c>
    </row>
    <row r="17" ht="58" customHeight="1">
      <c r="A17" s="9" t="inlineStr">
        <is>
          <t>M02</t>
        </is>
      </c>
      <c r="B17" s="9" t="n">
        <v>3</v>
      </c>
      <c r="C17" s="9" t="inlineStr">
        <is>
          <t>00:08–00:15</t>
        </is>
      </c>
      <c r="D17" s="14" t="inlineStr">
        <is>
          <t>Masalah</t>
        </is>
      </c>
      <c r="E17" s="5" t="inlineStr">
        <is>
          <t>Tanda "≠" di antara "merasa patuh" dan "patuh"</t>
        </is>
      </c>
      <c r="F17" s="5" t="inlineStr">
        <is>
          <t>—</t>
        </is>
      </c>
      <c r="G17" s="5" t="inlineStr">
        <is>
          <t>—</t>
        </is>
      </c>
      <c r="H17" s="5" t="inlineStr">
        <is>
          <t>Merasa patuh ≠ patuh</t>
        </is>
      </c>
      <c r="I17" s="5" t="inlineStr">
        <is>
          <t>Banyak organisasi merasa sudah patuh. Tapi perasaan bukan bukti.</t>
        </is>
      </c>
      <c r="J17" s="5" t="inlineStr">
        <is>
          <t>buzzer</t>
        </is>
      </c>
    </row>
    <row r="18" ht="58" customHeight="1">
      <c r="A18" s="9" t="inlineStr">
        <is>
          <t>M02</t>
        </is>
      </c>
      <c r="B18" s="9" t="n">
        <v>4</v>
      </c>
      <c r="C18" s="9" t="inlineStr">
        <is>
          <t>00:15–00:25</t>
        </is>
      </c>
      <c r="D18" s="14" t="inlineStr">
        <is>
          <t>Solusi</t>
        </is>
      </c>
      <c r="E18" s="5" t="inlineStr">
        <is>
          <t>Daftar asesmen &amp; grafik skor</t>
        </is>
      </c>
      <c r="F18" s="5" t="inlineStr">
        <is>
          <t>dataroom/03-tenant/gap-assessment/01-overview.png</t>
        </is>
      </c>
      <c r="G18" s="5" t="inlineStr">
        <is>
          <t>Crop [262,40,1002,640]. Blur blok user sidebar [0,470,262,140] atau crop mulai x=262. Sorot 81% skor tertinggi &amp; 73% rata-rata</t>
        </is>
      </c>
      <c r="H18" s="5" t="inlineStr">
        <is>
          <t>Ukur, jangan menebak</t>
        </is>
      </c>
      <c r="I18" s="5" t="inlineStr">
        <is>
          <t>GAP Assessment mengukur kepatuhan UU PDP dengan indikator yang jelas, lengkap dengan skor dan riwayatnya.</t>
        </is>
      </c>
      <c r="J18" s="5" t="inlineStr">
        <is>
          <t>whoosh</t>
        </is>
      </c>
    </row>
    <row r="19" ht="58" customHeight="1">
      <c r="A19" s="9" t="inlineStr">
        <is>
          <t>M02</t>
        </is>
      </c>
      <c r="B19" s="9" t="n">
        <v>5</v>
      </c>
      <c r="C19" s="9" t="inlineStr">
        <is>
          <t>00:25–00:35</t>
        </is>
      </c>
      <c r="D19" s="14" t="inlineStr">
        <is>
          <t>Bukti</t>
        </is>
      </c>
      <c r="E19" s="5" t="inlineStr">
        <is>
          <t>Hasil per area</t>
        </is>
      </c>
      <c r="F19" s="5" t="inlineStr">
        <is>
          <t>motion/assets/app/gap-hasil.png</t>
        </is>
      </c>
      <c r="G19" s="5" t="inlineStr">
        <is>
          <t>Siap pakai. Sorot compliance score + statistik per area</t>
        </is>
      </c>
      <c r="H19" s="5" t="inlineStr">
        <is>
          <t>Kelihatan mana yang belum</t>
        </is>
      </c>
      <c r="I19" s="5" t="inlineStr">
        <is>
          <t>Hasilnya dirinci per area, jadi kelihatan mana yang sudah dan mana yang belum.</t>
        </is>
      </c>
      <c r="J19" s="5" t="inlineStr">
        <is>
          <t>pop</t>
        </is>
      </c>
    </row>
    <row r="20" ht="58" customHeight="1">
      <c r="A20" s="9" t="inlineStr">
        <is>
          <t>M02</t>
        </is>
      </c>
      <c r="B20" s="9" t="n">
        <v>6</v>
      </c>
      <c r="C20" s="9" t="inlineStr">
        <is>
          <t>00:35–00:45</t>
        </is>
      </c>
      <c r="D20" s="14" t="inlineStr">
        <is>
          <t>Bukti</t>
        </is>
      </c>
      <c r="E20" s="5" t="inlineStr">
        <is>
          <t>Rekomendasi per pasal</t>
        </is>
      </c>
      <c r="F20" s="5" t="inlineStr">
        <is>
          <t>motion/assets/app/gap-rekomendasi.png</t>
        </is>
      </c>
      <c r="G20" s="5" t="inlineStr">
        <is>
          <t>Siap pakai. Sorot label CRITICAL/HIGH + tombol AI Remediation Plan</t>
        </is>
      </c>
      <c r="H20" s="5" t="inlineStr">
        <is>
          <t>Rekomendasi per pasal</t>
        </is>
      </c>
      <c r="I20" s="5" t="inlineStr">
        <is>
          <t>Tiap temuan punya rekomendasi per pasal, dan rencana remediasi bisa disusun dengan bantuan AI.</t>
        </is>
      </c>
      <c r="J20" s="5" t="inlineStr">
        <is>
          <t>ding</t>
        </is>
      </c>
    </row>
    <row r="21" ht="58" customHeight="1">
      <c r="A21" s="9" t="inlineStr">
        <is>
          <t>M02</t>
        </is>
      </c>
      <c r="B21" s="9" t="n">
        <v>7</v>
      </c>
      <c r="C21" s="9" t="inlineStr">
        <is>
          <t>00:45–00:50</t>
        </is>
      </c>
      <c r="D21" s="14" t="inlineStr">
        <is>
          <t>Bukti</t>
        </is>
      </c>
      <c r="E21" s="5" t="inlineStr">
        <is>
          <t>Ikon dokumen masuk ke AI</t>
        </is>
      </c>
      <c r="F21" s="5" t="inlineStr">
        <is>
          <t>—</t>
        </is>
      </c>
      <c r="G21" s="5" t="inlineStr">
        <is>
          <t>—</t>
        </is>
      </c>
      <c r="H21" s="5" t="inlineStr">
        <is>
          <t>Dokumen bukti dianalisis AI</t>
        </is>
      </c>
      <c r="I21" s="5" t="inlineStr">
        <is>
          <t>Dokumen bukti pun bisa dianalisis AI per pertanyaan.</t>
        </is>
      </c>
      <c r="J21" s="5" t="inlineStr">
        <is>
          <t>shimmer</t>
        </is>
      </c>
    </row>
    <row r="22" ht="58" customHeight="1">
      <c r="A22" s="18" t="inlineStr">
        <is>
          <t>M02</t>
        </is>
      </c>
      <c r="B22" s="18" t="n">
        <v>8</v>
      </c>
      <c r="C22" s="18" t="inlineStr">
        <is>
          <t>00:50–00:55</t>
        </is>
      </c>
      <c r="D22" s="19" t="inlineStr">
        <is>
          <t>CTA</t>
        </is>
      </c>
      <c r="E22" s="20" t="inlineStr">
        <is>
          <t>Logo + tombol Start Pre Check</t>
        </is>
      </c>
      <c r="F22" s="20" t="inlineStr">
        <is>
          <t>—</t>
        </is>
      </c>
      <c r="G22" s="20" t="inlineStr">
        <is>
          <t>—</t>
        </is>
      </c>
      <c r="H22" s="20" t="inlineStr">
        <is>
          <t>Siap kaget? Mulai gratis.</t>
        </is>
      </c>
      <c r="I22" s="20" t="inlineStr">
        <is>
          <t>Berani cek? Mulai dari Start Pre Check gratis di privasimu dot com.</t>
        </is>
      </c>
      <c r="J22" s="20" t="inlineStr">
        <is>
          <t>sonic logo</t>
        </is>
      </c>
    </row>
    <row r="24" ht="36" customHeight="1">
      <c r="A24" s="25" t="inlineStr">
        <is>
          <t>M03 · Maturity Assessment · "Patuh itu bukan ya/tidak" · 50 dtk · Hook (Logika dipatahkan): "Sudah patuh atau belum?" itu pertanyaan yang salah.</t>
        </is>
      </c>
    </row>
    <row r="25" ht="58" customHeight="1">
      <c r="A25" s="11" t="inlineStr">
        <is>
          <t>M03</t>
        </is>
      </c>
      <c r="B25" s="11" t="n">
        <v>1</v>
      </c>
      <c r="C25" s="11" t="inlineStr">
        <is>
          <t>00:00–00:04</t>
        </is>
      </c>
      <c r="D25" s="12" t="inlineStr">
        <is>
          <t>Hook</t>
        </is>
      </c>
      <c r="E25" s="13" t="inlineStr">
        <is>
          <t>Teks pertanyaan dicoret</t>
        </is>
      </c>
      <c r="F25" s="13" t="inlineStr">
        <is>
          <t>—</t>
        </is>
      </c>
      <c r="G25" s="13" t="inlineStr">
        <is>
          <t>—</t>
        </is>
      </c>
      <c r="H25" s="13" t="inlineStr">
        <is>
          <t>"Sudah patuh atau belum?" ❌</t>
        </is>
      </c>
      <c r="I25" s="13" t="inlineStr">
        <is>
          <t>Sudah patuh atau belum? Itu pertanyaan yang salah.</t>
        </is>
      </c>
      <c r="J25" s="13" t="inlineStr">
        <is>
          <t>buzzer</t>
        </is>
      </c>
    </row>
    <row r="26" ht="58" customHeight="1">
      <c r="A26" s="9" t="inlineStr">
        <is>
          <t>M03</t>
        </is>
      </c>
      <c r="B26" s="9" t="n">
        <v>2</v>
      </c>
      <c r="C26" s="9" t="inlineStr">
        <is>
          <t>00:04–00:10</t>
        </is>
      </c>
      <c r="D26" s="14" t="inlineStr">
        <is>
          <t>Konsep</t>
        </is>
      </c>
      <c r="E26" s="5" t="inlineStr">
        <is>
          <t>Tangga 4 anak tangga: Ad-hoc → Defined → Managed → Optimized</t>
        </is>
      </c>
      <c r="F26" s="5" t="inlineStr">
        <is>
          <t>—</t>
        </is>
      </c>
      <c r="G26" s="5" t="inlineStr">
        <is>
          <t>—</t>
        </is>
      </c>
      <c r="H26" s="5" t="inlineStr">
        <is>
          <t>Kepatuhan itu bertingkat</t>
        </is>
      </c>
      <c r="I26" s="5" t="inlineStr">
        <is>
          <t>Kepatuhan itu bertingkat, dari ad-hoc sampai teroptimasi.</t>
        </is>
      </c>
      <c r="J26" s="5" t="inlineStr">
        <is>
          <t>pop ×4</t>
        </is>
      </c>
    </row>
    <row r="27" ht="58" customHeight="1">
      <c r="A27" s="9" t="inlineStr">
        <is>
          <t>M03</t>
        </is>
      </c>
      <c r="B27" s="9" t="n">
        <v>3</v>
      </c>
      <c r="C27" s="9" t="inlineStr">
        <is>
          <t>00:10–00:22</t>
        </is>
      </c>
      <c r="D27" s="14" t="inlineStr">
        <is>
          <t>Solusi</t>
        </is>
      </c>
      <c r="E27" s="5" t="inlineStr">
        <is>
          <t>Gauge level kematangan</t>
        </is>
      </c>
      <c r="F27" s="5" t="inlineStr">
        <is>
          <t>dataroom/03-tenant/maturity/02-recheck.png</t>
        </is>
      </c>
      <c r="G27" s="5" t="inlineStr">
        <is>
          <t>Crop [262,40,1002,700]. Blur blok user sidebar [0,470,262,140] atau crop mulai x=262. Sorot gauge "Level 3 – Managed"</t>
        </is>
      </c>
      <c r="H27" s="5" t="inlineStr">
        <is>
          <t>Level kematanganmu, per domain</t>
        </is>
      </c>
      <c r="I27" s="5" t="inlineStr">
        <is>
          <t>Maturity Assessment memetakan level kematangan program PDP-mu per domain.</t>
        </is>
      </c>
      <c r="J27" s="5" t="inlineStr">
        <is>
          <t>whoosh</t>
        </is>
      </c>
    </row>
    <row r="28" ht="58" customHeight="1">
      <c r="A28" s="9" t="inlineStr">
        <is>
          <t>M03</t>
        </is>
      </c>
      <c r="B28" s="9" t="n">
        <v>4</v>
      </c>
      <c r="C28" s="9" t="inlineStr">
        <is>
          <t>00:22–00:32</t>
        </is>
      </c>
      <c r="D28" s="14" t="inlineStr">
        <is>
          <t>Bukti</t>
        </is>
      </c>
      <c r="E28" s="5" t="inlineStr">
        <is>
          <t>Skor domain &amp; tren 12 bulan</t>
        </is>
      </c>
      <c r="F28" s="5" t="inlineStr">
        <is>
          <t>dataroom/03-tenant/maturity/02-recheck.png</t>
        </is>
      </c>
      <c r="G28" s="5" t="inlineStr">
        <is>
          <t>Sorot skor domain (9.0 / 8.5 / 7.0) + grafik tren</t>
        </is>
      </c>
      <c r="H28" s="5" t="inlineStr">
        <is>
          <t>Mana kuat, mana perlu naik kelas</t>
        </is>
      </c>
      <c r="I28" s="5" t="inlineStr">
        <is>
          <t>Kelihatan domain mana yang kuat, mana yang perlu naik kelas, dan trennya dari waktu ke waktu.</t>
        </is>
      </c>
      <c r="J28" s="5" t="inlineStr">
        <is>
          <t>ding</t>
        </is>
      </c>
    </row>
    <row r="29" ht="58" customHeight="1">
      <c r="A29" s="9" t="inlineStr">
        <is>
          <t>M03</t>
        </is>
      </c>
      <c r="B29" s="9" t="n">
        <v>5</v>
      </c>
      <c r="C29" s="9" t="inlineStr">
        <is>
          <t>00:32–00:40</t>
        </is>
      </c>
      <c r="D29" s="14" t="inlineStr">
        <is>
          <t>Bukti</t>
        </is>
      </c>
      <c r="E29" s="5" t="inlineStr">
        <is>
          <t>Ikon bukti dokumen → rekomendasi</t>
        </is>
      </c>
      <c r="F29" s="5" t="inlineStr">
        <is>
          <t>—</t>
        </is>
      </c>
      <c r="G29" s="5" t="inlineStr">
        <is>
          <t>—</t>
        </is>
      </c>
      <c r="H29" s="5" t="inlineStr">
        <is>
          <t>Bukti dianalisis AI · rekomendasi</t>
        </is>
      </c>
      <c r="I29" s="5" t="inlineStr">
        <is>
          <t>Bukti dokumen dianalisis AI, lalu keluar rekomendasi peningkatan.</t>
        </is>
      </c>
      <c r="J29" s="5" t="inlineStr">
        <is>
          <t>shimmer</t>
        </is>
      </c>
    </row>
    <row r="30" ht="58" customHeight="1">
      <c r="A30" s="18" t="inlineStr">
        <is>
          <t>M03</t>
        </is>
      </c>
      <c r="B30" s="18" t="n">
        <v>6</v>
      </c>
      <c r="C30" s="18" t="inlineStr">
        <is>
          <t>00:40–00:50</t>
        </is>
      </c>
      <c r="D30" s="19" t="inlineStr">
        <is>
          <t>CTA</t>
        </is>
      </c>
      <c r="E30" s="20" t="inlineStr">
        <is>
          <t>Logo + konsultan</t>
        </is>
      </c>
      <c r="F30" s="20" t="inlineStr">
        <is>
          <t>—</t>
        </is>
      </c>
      <c r="G30" s="20" t="inlineStr">
        <is>
          <t>—</t>
        </is>
      </c>
      <c r="H30" s="20" t="inlineStr">
        <is>
          <t>Naik level bersama konsultan</t>
        </is>
      </c>
      <c r="I30" s="20" t="inlineStr">
        <is>
          <t>Mau naik level? Susun roadmap-nya bersama konsultan Privasimu.</t>
        </is>
      </c>
      <c r="J30" s="20" t="inlineStr">
        <is>
          <t>sonic logo</t>
        </is>
      </c>
    </row>
    <row r="32" ht="36" customHeight="1">
      <c r="A32" s="25" t="inlineStr">
        <is>
          <t>M04 · RoPA · "RoPA_final_revisi3_FIX.xlsx harus pensiun" · 60 dtk · Hook (Relate): Angkat tangan kalau kamu punya file bernama "RoPA_final_revisi3_FIX.xlsx".</t>
        </is>
      </c>
    </row>
    <row r="33" ht="58" customHeight="1">
      <c r="A33" s="11" t="inlineStr">
        <is>
          <t>M04</t>
        </is>
      </c>
      <c r="B33" s="11" t="n">
        <v>1</v>
      </c>
      <c r="C33" s="11" t="inlineStr">
        <is>
          <t>00:00–00:04</t>
        </is>
      </c>
      <c r="D33" s="12" t="inlineStr">
        <is>
          <t>Hook</t>
        </is>
      </c>
      <c r="E33" s="13" t="inlineStr">
        <is>
          <t>Ikon file spreadsheet dengan nama versi kacau</t>
        </is>
      </c>
      <c r="F33" s="13" t="inlineStr">
        <is>
          <t>—</t>
        </is>
      </c>
      <c r="G33" s="13" t="inlineStr">
        <is>
          <t>—</t>
        </is>
      </c>
      <c r="H33" s="13" t="inlineStr">
        <is>
          <t>Siapa yang punya file ini? 🙋</t>
        </is>
      </c>
      <c r="I33" s="13" t="inlineStr">
        <is>
          <t>Angkat tangan kalau kamu punya file bernama RoPA final revisi tiga FIX.</t>
        </is>
      </c>
      <c r="J33" s="13" t="inlineStr">
        <is>
          <t>pop</t>
        </is>
      </c>
    </row>
    <row r="34" ht="58" customHeight="1">
      <c r="A34" s="9" t="inlineStr">
        <is>
          <t>M04</t>
        </is>
      </c>
      <c r="B34" s="9" t="n">
        <v>2</v>
      </c>
      <c r="C34" s="9" t="inlineStr">
        <is>
          <t>00:04–00:10</t>
        </is>
      </c>
      <c r="D34" s="14" t="inlineStr">
        <is>
          <t>Masalah</t>
        </is>
      </c>
      <c r="E34" s="5" t="inlineStr">
        <is>
          <t>12 file dari 12 divisi beterbangan</t>
        </is>
      </c>
      <c r="F34" s="5" t="inlineStr">
        <is>
          <t>—</t>
        </is>
      </c>
      <c r="G34" s="5" t="inlineStr">
        <is>
          <t>—</t>
        </is>
      </c>
      <c r="H34" s="5" t="inlineStr">
        <is>
          <t>Tersebar · tanpa jejak · beda versi</t>
        </is>
      </c>
      <c r="I34" s="5" t="inlineStr">
        <is>
          <t>Catatan pemrosesan tersebar di spreadsheet per divisi, tanpa jejak siapa mengubah apa.</t>
        </is>
      </c>
      <c r="J34" s="5" t="inlineStr">
        <is>
          <t>paper</t>
        </is>
      </c>
    </row>
    <row r="35" ht="58" customHeight="1">
      <c r="A35" s="9" t="inlineStr">
        <is>
          <t>M04</t>
        </is>
      </c>
      <c r="B35" s="9" t="n">
        <v>3</v>
      </c>
      <c r="C35" s="9" t="inlineStr">
        <is>
          <t>00:10–00:20</t>
        </is>
      </c>
      <c r="D35" s="14" t="inlineStr">
        <is>
          <t>Solusi</t>
        </is>
      </c>
      <c r="E35" s="5" t="inlineStr">
        <is>
          <t>Modal Buat RoPA Baru</t>
        </is>
      </c>
      <c r="F35" s="5" t="inlineStr">
        <is>
          <t>motion/assets/app/ropa-baru.png</t>
        </is>
      </c>
      <c r="G35" s="5" t="inlineStr">
        <is>
          <t>Siap pakai. Sorot modal wizard</t>
        </is>
      </c>
      <c r="H35" s="5" t="inlineStr">
        <is>
          <t>Wizard bertahap</t>
        </is>
      </c>
      <c r="I35" s="5" t="inlineStr">
        <is>
          <t>Di Nexus, RoPA dicatat lewat wizard bertahap: tujuan, dasar pemrosesan, kategori data, sampai retensi.</t>
        </is>
      </c>
      <c r="J35" s="5" t="inlineStr">
        <is>
          <t>whoosh</t>
        </is>
      </c>
    </row>
    <row r="36" ht="58" customHeight="1">
      <c r="A36" s="9" t="inlineStr">
        <is>
          <t>M04</t>
        </is>
      </c>
      <c r="B36" s="9" t="n">
        <v>4</v>
      </c>
      <c r="C36" s="9" t="inlineStr">
        <is>
          <t>00:20–00:28</t>
        </is>
      </c>
      <c r="D36" s="14" t="inlineStr">
        <is>
          <t>Bukti</t>
        </is>
      </c>
      <c r="E36" s="5" t="inlineStr">
        <is>
          <t>Daftar data pribadi spesifik</t>
        </is>
      </c>
      <c r="F36" s="5" t="inlineStr">
        <is>
          <t>motion/assets/app/ropa-data-spesifik.png</t>
        </is>
      </c>
      <c r="G36" s="5" t="inlineStr">
        <is>
          <t>Siap pakai. Sorot daftar Data Pribadi Spesifik</t>
        </is>
      </c>
      <c r="H36" s="5" t="inlineStr">
        <is>
          <t>Data spesifik → risiko TINGGI</t>
        </is>
      </c>
      <c r="I36" s="5" t="inlineStr">
        <is>
          <t>Begitu ada data spesifik, risikonya otomatis ditandai tinggi…</t>
        </is>
      </c>
      <c r="J36" s="5" t="inlineStr">
        <is>
          <t>alarm ringan</t>
        </is>
      </c>
    </row>
    <row r="37" ht="58" customHeight="1">
      <c r="A37" s="9" t="inlineStr">
        <is>
          <t>M04</t>
        </is>
      </c>
      <c r="B37" s="9" t="n">
        <v>5</v>
      </c>
      <c r="C37" s="9" t="inlineStr">
        <is>
          <t>00:28–00:34</t>
        </is>
      </c>
      <c r="D37" s="14" t="inlineStr">
        <is>
          <t>Bukti</t>
        </is>
      </c>
      <c r="E37" s="5" t="inlineStr">
        <is>
          <t>Daftar DPIA</t>
        </is>
      </c>
      <c r="F37" s="5" t="inlineStr">
        <is>
          <t>motion/assets/app/dpia-list.png</t>
        </is>
      </c>
      <c r="G37" s="5" t="inlineStr">
        <is>
          <t>Siap pakai. Sorot baris DPIA terbaru</t>
        </is>
      </c>
      <c r="H37" s="5" t="inlineStr">
        <is>
          <t>…dan draf DPIA langsung dibuat</t>
        </is>
      </c>
      <c r="I37" s="5" t="inlineStr">
        <is>
          <t>…dan draf DPIA langsung dibuat.</t>
        </is>
      </c>
      <c r="J37" s="5" t="inlineStr">
        <is>
          <t>ding</t>
        </is>
      </c>
    </row>
    <row r="38" ht="58" customHeight="1">
      <c r="A38" s="9" t="inlineStr">
        <is>
          <t>M04</t>
        </is>
      </c>
      <c r="B38" s="9" t="n">
        <v>6</v>
      </c>
      <c r="C38" s="9" t="inlineStr">
        <is>
          <t>00:34–00:42</t>
        </is>
      </c>
      <c r="D38" s="14" t="inlineStr">
        <is>
          <t>Bukti</t>
        </is>
      </c>
      <c r="E38" s="5" t="inlineStr">
        <is>
          <t>Mode tinjauan menunggu persetujuan</t>
        </is>
      </c>
      <c r="F38" s="5" t="inlineStr">
        <is>
          <t>dataroom/03-tenant/ropa/03-review-mode-waiting.png</t>
        </is>
      </c>
      <c r="G38" s="5" t="inlineStr">
        <is>
          <t>Crop HANYA [262,40,1002,420] (bagian "Detail Pemrosesan"). JANGAN tampilkan bagian "DPO / Team" (ada email). Blur blok user sidebar [0,470,262,140] atau crop mulai x=262</t>
        </is>
      </c>
      <c r="H38" s="5" t="inlineStr">
        <is>
          <t>Maker → Reviewer → Approver</t>
        </is>
      </c>
      <c r="I38" s="5" t="inlineStr">
        <is>
          <t>Alurnya jelas: maker, reviewer, approver. Setiap perubahan tercatat di log audit.</t>
        </is>
      </c>
      <c r="J38" s="5" t="inlineStr">
        <is>
          <t>check</t>
        </is>
      </c>
    </row>
    <row r="39" ht="58" customHeight="1">
      <c r="A39" s="9" t="inlineStr">
        <is>
          <t>M04</t>
        </is>
      </c>
      <c r="B39" s="9" t="n">
        <v>7</v>
      </c>
      <c r="C39" s="9" t="inlineStr">
        <is>
          <t>00:42–00:50</t>
        </is>
      </c>
      <c r="D39" s="14" t="inlineStr">
        <is>
          <t>Bukti</t>
        </is>
      </c>
      <c r="E39" s="5" t="inlineStr">
        <is>
          <t>Notifikasi RoPA tersimpan</t>
        </is>
      </c>
      <c r="F39" s="5" t="inlineStr">
        <is>
          <t>motion/assets/app/ropa-tersimpan.png</t>
        </is>
      </c>
      <c r="G39" s="5" t="inlineStr">
        <is>
          <t>Siap pakai. Sorot notifikasi + kode ROPA</t>
        </is>
      </c>
      <c r="H39" s="5" t="inlineStr">
        <is>
          <t>Satu register, kode konsisten</t>
        </is>
      </c>
      <c r="I39" s="5" t="inlineStr">
        <is>
          <t>Hasilnya satu register terpusat dengan kode ROPA yang konsisten.</t>
        </is>
      </c>
      <c r="J39" s="5" t="inlineStr">
        <is>
          <t>correct</t>
        </is>
      </c>
    </row>
    <row r="40" ht="58" customHeight="1">
      <c r="A40" s="9" t="inlineStr">
        <is>
          <t>M04</t>
        </is>
      </c>
      <c r="B40" s="9" t="n">
        <v>8</v>
      </c>
      <c r="C40" s="9" t="inlineStr">
        <is>
          <t>00:50–00:55</t>
        </is>
      </c>
      <c r="D40" s="14" t="inlineStr">
        <is>
          <t>Bukti</t>
        </is>
      </c>
      <c r="E40" s="5" t="inlineStr">
        <is>
          <t>Form minta pihak ketiga mengisi RoPA</t>
        </is>
      </c>
      <c r="F40" s="5" t="inlineStr">
        <is>
          <t>frontend/tmp/audit4/vendor-risk__ropa-pihak-ketiga.png</t>
        </is>
      </c>
      <c r="G40" s="5" t="inlineStr">
        <is>
          <t>Crop [200,40,1240,300]. Blur nama org [300,22,200,26]; buang sidebar (x&lt;200)</t>
        </is>
      </c>
      <c r="H40" s="5" t="inlineStr">
        <is>
          <t>Pihak ketiga isi lewat tautan</t>
        </is>
      </c>
      <c r="I40" s="5" t="inlineStr">
        <is>
          <t>Pihak ketiga pun bisa mengisi RoPA-nya lewat tautan khusus.</t>
        </is>
      </c>
      <c r="J40" s="5" t="inlineStr">
        <is>
          <t>pop</t>
        </is>
      </c>
    </row>
    <row r="41" ht="58" customHeight="1">
      <c r="A41" s="18" t="inlineStr">
        <is>
          <t>M04</t>
        </is>
      </c>
      <c r="B41" s="18" t="n">
        <v>9</v>
      </c>
      <c r="C41" s="18" t="inlineStr">
        <is>
          <t>00:55–01:00</t>
        </is>
      </c>
      <c r="D41" s="19" t="inlineStr">
        <is>
          <t>CTA</t>
        </is>
      </c>
      <c r="E41" s="20" t="inlineStr">
        <is>
          <t>Ikon file lama dimasukkan ke "arsip", logo</t>
        </is>
      </c>
      <c r="F41" s="20" t="inlineStr">
        <is>
          <t>—</t>
        </is>
      </c>
      <c r="G41" s="20" t="inlineStr">
        <is>
          <t>—</t>
        </is>
      </c>
      <c r="H41" s="20" t="inlineStr">
        <is>
          <t>Pensiunkan revisi ketiga.</t>
        </is>
      </c>
      <c r="I41" s="20" t="inlineStr">
        <is>
          <t>Saatnya pensiunkan revisi ketiga. Privasimu Nexus.</t>
        </is>
      </c>
      <c r="J41" s="20" t="inlineStr">
        <is>
          <t>sonic logo</t>
        </is>
      </c>
    </row>
    <row r="43" ht="36" customHeight="1">
      <c r="A43" s="25" t="inlineStr">
        <is>
          <t>M05 · DPIA &amp; Risk Treatment Plan · "Nilai dulu, baru meluncur" · 60 dtk · Hook (Anomali): Proyek paling berisiko di kantormu… biasanya proyek yang paling ditunggu-tunggu.</t>
        </is>
      </c>
    </row>
    <row r="44" ht="58" customHeight="1">
      <c r="A44" s="11" t="inlineStr">
        <is>
          <t>M05</t>
        </is>
      </c>
      <c r="B44" s="11" t="n">
        <v>1</v>
      </c>
      <c r="C44" s="11" t="inlineStr">
        <is>
          <t>00:00–00:04</t>
        </is>
      </c>
      <c r="D44" s="12" t="inlineStr">
        <is>
          <t>Hook</t>
        </is>
      </c>
      <c r="E44" s="13" t="inlineStr">
        <is>
          <t>Roket "Aplikasi Baru" siap meluncur, lalu lampu alarm</t>
        </is>
      </c>
      <c r="F44" s="13" t="inlineStr">
        <is>
          <t>—</t>
        </is>
      </c>
      <c r="G44" s="13" t="inlineStr">
        <is>
          <t>—</t>
        </is>
      </c>
      <c r="H44" s="13" t="inlineStr">
        <is>
          <t>Proyek paling berisiko = yang paling ditunggu?</t>
        </is>
      </c>
      <c r="I44" s="13" t="inlineStr">
        <is>
          <t>Proyek paling berisiko di kantormu… biasanya yang paling ditunggu-tunggu.</t>
        </is>
      </c>
      <c r="J44" s="13" t="inlineStr">
        <is>
          <t>riser + alarm</t>
        </is>
      </c>
    </row>
    <row r="45" ht="58" customHeight="1">
      <c r="A45" s="9" t="inlineStr">
        <is>
          <t>M05</t>
        </is>
      </c>
      <c r="B45" s="9" t="n">
        <v>2</v>
      </c>
      <c r="C45" s="9" t="inlineStr">
        <is>
          <t>00:04–00:10</t>
        </is>
      </c>
      <c r="D45" s="14" t="inlineStr">
        <is>
          <t>Masalah</t>
        </is>
      </c>
      <c r="E45" s="5" t="inlineStr">
        <is>
          <t>Dua penilai memberi skor berbeda untuk risiko yang sama</t>
        </is>
      </c>
      <c r="F45" s="5" t="inlineStr">
        <is>
          <t>—</t>
        </is>
      </c>
      <c r="G45" s="5" t="inlineStr">
        <is>
          <t>—</t>
        </is>
      </c>
      <c r="H45" s="5" t="inlineStr">
        <is>
          <t>Dokumen terpisah · skor beda-beda</t>
        </is>
      </c>
      <c r="I45" s="5" t="inlineStr">
        <is>
          <t>Penilaian dampak sering dikerjakan terpisah, dan skornya beda-beda tiap penilai.</t>
        </is>
      </c>
      <c r="J45" s="5" t="inlineStr">
        <is>
          <t>buzzer</t>
        </is>
      </c>
    </row>
    <row r="46" ht="58" customHeight="1">
      <c r="A46" s="9" t="inlineStr">
        <is>
          <t>M05</t>
        </is>
      </c>
      <c r="B46" s="9" t="n">
        <v>3</v>
      </c>
      <c r="C46" s="9" t="inlineStr">
        <is>
          <t>00:10–00:20</t>
        </is>
      </c>
      <c r="D46" s="14" t="inlineStr">
        <is>
          <t>Solusi</t>
        </is>
      </c>
      <c r="E46" s="5" t="inlineStr">
        <is>
          <t>Daftar DPIA</t>
        </is>
      </c>
      <c r="F46" s="5" t="inlineStr">
        <is>
          <t>motion/assets/app/dpia-list-baru.png</t>
        </is>
      </c>
      <c r="G46" s="5" t="inlineStr">
        <is>
          <t>Siap pakai. Sorot kolom referensi RoPA</t>
        </is>
      </c>
      <c r="H46" s="5" t="inlineStr">
        <is>
          <t>Tertaut ke RoPA-nya</t>
        </is>
      </c>
      <c r="I46" s="5" t="inlineStr">
        <is>
          <t>Di Nexus, setiap DPIA tertaut ke RoPA sumbernya.</t>
        </is>
      </c>
      <c r="J46" s="5" t="inlineStr">
        <is>
          <t>whoosh</t>
        </is>
      </c>
    </row>
    <row r="47" ht="58" customHeight="1">
      <c r="A47" s="9" t="inlineStr">
        <is>
          <t>M05</t>
        </is>
      </c>
      <c r="B47" s="9" t="n">
        <v>4</v>
      </c>
      <c r="C47" s="9" t="inlineStr">
        <is>
          <t>00:20–00:30</t>
        </is>
      </c>
      <c r="D47" s="14" t="inlineStr">
        <is>
          <t>Bukti</t>
        </is>
      </c>
      <c r="E47" s="5" t="inlineStr">
        <is>
          <t>Wizard potensi risiko</t>
        </is>
      </c>
      <c r="F47" s="5" t="inlineStr">
        <is>
          <t>motion/assets/app/dpia-risiko.png</t>
        </is>
      </c>
      <c r="G47" s="5" t="inlineStr">
        <is>
          <t>Siap pakai. Sorot kategori risiko</t>
        </is>
      </c>
      <c r="H47" s="5" t="inlineStr">
        <is>
          <t>Satu matriks 5×5</t>
        </is>
      </c>
      <c r="I47" s="5" t="inlineStr">
        <is>
          <t>Risiko dinilai dengan satu matriks kemungkinan kali dampak, skala lima kali lima.</t>
        </is>
      </c>
      <c r="J47" s="5" t="inlineStr">
        <is>
          <t>pop</t>
        </is>
      </c>
    </row>
    <row r="48" ht="58" customHeight="1">
      <c r="A48" s="9" t="inlineStr">
        <is>
          <t>M05</t>
        </is>
      </c>
      <c r="B48" s="9" t="n">
        <v>5</v>
      </c>
      <c r="C48" s="9" t="inlineStr">
        <is>
          <t>00:30–00:38</t>
        </is>
      </c>
      <c r="D48" s="14" t="inlineStr">
        <is>
          <t>Bukti</t>
        </is>
      </c>
      <c r="E48" s="5" t="inlineStr">
        <is>
          <t>Heatmap risiko</t>
        </is>
      </c>
      <c r="F48" s="5" t="inlineStr">
        <is>
          <t>motion/assets/app/dashboard-risiko.png</t>
        </is>
      </c>
      <c r="G48" s="5" t="inlineStr">
        <is>
          <t>Siap pakai. Sorot heatmap</t>
        </is>
      </c>
      <c r="H48" s="5" t="inlineStr">
        <is>
          <t>Semua risiko di satu peta</t>
        </is>
      </c>
      <c r="I48" s="5" t="inlineStr">
        <is>
          <t>Semua risiko terkumpul di satu heatmap.</t>
        </is>
      </c>
      <c r="J48" s="5" t="inlineStr">
        <is>
          <t>ding</t>
        </is>
      </c>
    </row>
    <row r="49" ht="58" customHeight="1">
      <c r="A49" s="9" t="inlineStr">
        <is>
          <t>M05</t>
        </is>
      </c>
      <c r="B49" s="9" t="n">
        <v>6</v>
      </c>
      <c r="C49" s="9" t="inlineStr">
        <is>
          <t>00:38–00:48</t>
        </is>
      </c>
      <c r="D49" s="14" t="inlineStr">
        <is>
          <t>Bukti</t>
        </is>
      </c>
      <c r="E49" s="5" t="inlineStr">
        <is>
          <t>Risk Treatment Plan</t>
        </is>
      </c>
      <c r="F49" s="5" t="inlineStr">
        <is>
          <t>dataroom/03-tenant/risk-treatment-plan/01-overview.png</t>
        </is>
      </c>
      <c r="G49" s="5" t="inlineStr">
        <is>
          <t>Crop [262,40,1002,700]. BLUR kolom Owner &amp; filter "Semua Owner" (nama orang). Blur blok user sidebar [0,470,262,140] atau crop mulai x=262. Sorot baris "Penggunaan Dasar Pemrosesan yang Tidak Tepat"</t>
        </is>
      </c>
      <c r="H49" s="5" t="inlineStr">
        <is>
          <t>Mitigasi dipantau sampai tuntas</t>
        </is>
      </c>
      <c r="I49" s="5" t="inlineStr">
        <is>
          <t>Mitigasinya dipantau di Risk Treatment Plan, dari rencana sampai terverifikasi.</t>
        </is>
      </c>
      <c r="J49" s="5" t="inlineStr">
        <is>
          <t>check</t>
        </is>
      </c>
    </row>
    <row r="50" ht="58" customHeight="1">
      <c r="A50" s="9" t="inlineStr">
        <is>
          <t>M05</t>
        </is>
      </c>
      <c r="B50" s="9" t="n">
        <v>7</v>
      </c>
      <c r="C50" s="9" t="inlineStr">
        <is>
          <t>00:48–00:54</t>
        </is>
      </c>
      <c r="D50" s="14" t="inlineStr">
        <is>
          <t>Bukti</t>
        </is>
      </c>
      <c r="E50" s="5" t="inlineStr">
        <is>
          <t>Tombol "Lanjutkan dengan AI"</t>
        </is>
      </c>
      <c r="F50" s="5" t="inlineStr">
        <is>
          <t>dataroom/03-tenant/dpia/07-wizard-step4-audit.png</t>
        </is>
      </c>
      <c r="G50" s="5" t="inlineStr">
        <is>
          <t>Crop [262,40,1002,560]. Blur blok user sidebar [0,470,262,140] atau crop mulai x=262</t>
        </is>
      </c>
      <c r="H50" s="5" t="inlineStr">
        <is>
          <t>Dibantu AI</t>
        </is>
      </c>
      <c r="I50" s="5" t="inlineStr">
        <is>
          <t>Pengisiannya bisa dibantu AI dari deskripsi kegiatan.</t>
        </is>
      </c>
      <c r="J50" s="5" t="inlineStr">
        <is>
          <t>shimmer</t>
        </is>
      </c>
    </row>
    <row r="51" ht="58" customHeight="1">
      <c r="A51" s="18" t="inlineStr">
        <is>
          <t>M05</t>
        </is>
      </c>
      <c r="B51" s="18" t="n">
        <v>8</v>
      </c>
      <c r="C51" s="18" t="inlineStr">
        <is>
          <t>00:54–01:00</t>
        </is>
      </c>
      <c r="D51" s="19" t="inlineStr">
        <is>
          <t>CTA</t>
        </is>
      </c>
      <c r="E51" s="20" t="inlineStr">
        <is>
          <t>Roket meluncur mulus</t>
        </is>
      </c>
      <c r="F51" s="20" t="inlineStr">
        <is>
          <t>—</t>
        </is>
      </c>
      <c r="G51" s="20" t="inlineStr">
        <is>
          <t>—</t>
        </is>
      </c>
      <c r="H51" s="20" t="inlineStr">
        <is>
          <t>Nilai dulu, baru meluncur.</t>
        </is>
      </c>
      <c r="I51" s="20" t="inlineStr">
        <is>
          <t>Nilai dulu, baru meluncur. Privasimu Nexus.</t>
        </is>
      </c>
      <c r="J51" s="20" t="inlineStr">
        <is>
          <t>sonic logo</t>
        </is>
      </c>
    </row>
    <row r="53" ht="36" customHeight="1">
      <c r="A53" s="25" t="inlineStr">
        <is>
          <t>M06 · LIA (Legitimate Interest Assessment) · ""Kepentingan yang sah" bukan cek kosong" · 45 dtk · Hook (Logika dipatahkan): "Kan kita punya kepentingan yang sah." Kalimat ini bukan tiket bebas.</t>
        </is>
      </c>
    </row>
    <row r="54" ht="58" customHeight="1">
      <c r="A54" s="11" t="inlineStr">
        <is>
          <t>M06</t>
        </is>
      </c>
      <c r="B54" s="11" t="n">
        <v>1</v>
      </c>
      <c r="C54" s="11" t="inlineStr">
        <is>
          <t>00:00–00:04</t>
        </is>
      </c>
      <c r="D54" s="12" t="inlineStr">
        <is>
          <t>Hook</t>
        </is>
      </c>
      <c r="E54" s="13" t="inlineStr">
        <is>
          <t>Balon chat "kan ada kepentingan yang sah" → stempel "BELUM TENTU"</t>
        </is>
      </c>
      <c r="F54" s="13" t="inlineStr">
        <is>
          <t>—</t>
        </is>
      </c>
      <c r="G54" s="13" t="inlineStr">
        <is>
          <t>—</t>
        </is>
      </c>
      <c r="H54" s="13" t="inlineStr">
        <is>
          <t>"Kan ada kepentingan yang sah." BELUM TENTU.</t>
        </is>
      </c>
      <c r="I54" s="13" t="inlineStr">
        <is>
          <t>Kita kan punya kepentingan yang sah. Belum tentu.</t>
        </is>
      </c>
      <c r="J54" s="13" t="inlineStr">
        <is>
          <t>stamp</t>
        </is>
      </c>
    </row>
    <row r="55" ht="58" customHeight="1">
      <c r="A55" s="9" t="inlineStr">
        <is>
          <t>M06</t>
        </is>
      </c>
      <c r="B55" s="9" t="n">
        <v>2</v>
      </c>
      <c r="C55" s="9" t="inlineStr">
        <is>
          <t>00:04–00:14</t>
        </is>
      </c>
      <c r="D55" s="14" t="inlineStr">
        <is>
          <t>Fakta</t>
        </is>
      </c>
      <c r="E55" s="5" t="inlineStr">
        <is>
          <t>Kutipan pasal</t>
        </is>
      </c>
      <c r="F55" s="5" t="inlineStr">
        <is>
          <t>—</t>
        </is>
      </c>
      <c r="G55" s="5" t="inlineStr">
        <is>
          <t>—</t>
        </is>
      </c>
      <c r="H55" s="5" t="inlineStr">
        <is>
          <t>UU PDP Ps. 20 (2) f: memperhatikan tujuan, kebutuhan, dan keseimbangan kepentingan</t>
        </is>
      </c>
      <c r="I55" s="5" t="inlineStr">
        <is>
          <t>Undang-undang meminta tujuan, kebutuhan, dan keseimbangan kepentingan ditimbang, bukan diasumsikan.</t>
        </is>
      </c>
      <c r="J55" s="5" t="inlineStr">
        <is>
          <t>paper</t>
        </is>
      </c>
    </row>
    <row r="56" ht="58" customHeight="1">
      <c r="A56" s="9" t="inlineStr">
        <is>
          <t>M06</t>
        </is>
      </c>
      <c r="B56" s="9" t="n">
        <v>3</v>
      </c>
      <c r="C56" s="9" t="inlineStr">
        <is>
          <t>00:14–00:26</t>
        </is>
      </c>
      <c r="D56" s="14" t="inlineStr">
        <is>
          <t>Solusi</t>
        </is>
      </c>
      <c r="E56" s="5" t="inlineStr">
        <is>
          <t>Judul modul LIA</t>
        </is>
      </c>
      <c r="F56" s="5" t="inlineStr">
        <is>
          <t>frontend/tmp/audit4/lia.png</t>
        </is>
      </c>
      <c r="G56" s="5" t="inlineStr">
        <is>
          <t>Crop HANYA header [200,40,1240,160] (daftar masih kosong). Blur nama org [300,22,200,26]; buang sidebar (x&lt;200). Versi final: AMBIL SCREENSHOT BARU /lia berisi 2–3 LIA contoh</t>
        </is>
      </c>
      <c r="H56" s="5" t="inlineStr">
        <is>
          <t>LIA di Nexus</t>
        </is>
      </c>
      <c r="I56" s="5" t="inlineStr">
        <is>
          <t>Modul LIA memandu penilaian kepentingan yang sah, dengan alur draft, ditinjau, sampai disetujui.</t>
        </is>
      </c>
      <c r="J56" s="5" t="inlineStr">
        <is>
          <t>whoosh</t>
        </is>
      </c>
    </row>
    <row r="57" ht="58" customHeight="1">
      <c r="A57" s="26" t="inlineStr">
        <is>
          <t>M06</t>
        </is>
      </c>
      <c r="B57" s="26" t="n">
        <v>4</v>
      </c>
      <c r="C57" s="26" t="inlineStr">
        <is>
          <t>00:26–00:36</t>
        </is>
      </c>
      <c r="D57" s="27" t="inlineStr">
        <is>
          <t>Bukti</t>
        </is>
      </c>
      <c r="E57" s="24" t="inlineStr">
        <is>
          <t>Detail penilaian (pertanyaan tujuan/kebutuhan/keseimbangan)</t>
        </is>
      </c>
      <c r="F57" s="24" t="inlineStr">
        <is>
          <t>BELUM ADA: ambil screenshot detail LIA dengan data dummy</t>
        </is>
      </c>
      <c r="G57" s="24" t="inlineStr">
        <is>
          <t>—</t>
        </is>
      </c>
      <c r="H57" s="24" t="inlineStr">
        <is>
          <t>Terdokumentasi, siap ditunjukkan</t>
        </is>
      </c>
      <c r="I57" s="24" t="inlineStr">
        <is>
          <t>Setiap pertimbangan terdokumentasi, siap ditunjukkan saat diminta.</t>
        </is>
      </c>
      <c r="J57" s="24" t="inlineStr">
        <is>
          <t>check</t>
        </is>
      </c>
    </row>
    <row r="58" ht="58" customHeight="1">
      <c r="A58" s="18" t="inlineStr">
        <is>
          <t>M06</t>
        </is>
      </c>
      <c r="B58" s="18" t="n">
        <v>5</v>
      </c>
      <c r="C58" s="18" t="inlineStr">
        <is>
          <t>00:36–00:45</t>
        </is>
      </c>
      <c r="D58" s="19" t="inlineStr">
        <is>
          <t>CTA</t>
        </is>
      </c>
      <c r="E58" s="20" t="inlineStr">
        <is>
          <t>Logo</t>
        </is>
      </c>
      <c r="F58" s="20" t="inlineStr">
        <is>
          <t>—</t>
        </is>
      </c>
      <c r="G58" s="20" t="inlineStr">
        <is>
          <t>—</t>
        </is>
      </c>
      <c r="H58" s="20" t="inlineStr">
        <is>
          <t>Kepentingan sah? Buktikan.</t>
        </is>
      </c>
      <c r="I58" s="20" t="inlineStr">
        <is>
          <t>Kepentingan sah? Buktikan dengan LIA. Privasimu Nexus.</t>
        </is>
      </c>
      <c r="J58" s="20" t="inlineStr">
        <is>
          <t>sonic logo</t>
        </is>
      </c>
    </row>
    <row r="60" ht="36" customHeight="1">
      <c r="A60" s="25" t="inlineStr">
        <is>
          <t>M07 · DSR (Permohonan Hak Subjek Data) · "72 jam itu cepat. Apalagi kalau dihitung manual." · 60 dtk · Hook (Relate): Email yang paling ditakuti customer service: "Tolong hapus semua data saya."</t>
        </is>
      </c>
    </row>
    <row r="61" ht="58" customHeight="1">
      <c r="A61" s="11" t="inlineStr">
        <is>
          <t>M07</t>
        </is>
      </c>
      <c r="B61" s="11" t="n">
        <v>1</v>
      </c>
      <c r="C61" s="11" t="inlineStr">
        <is>
          <t>00:00–00:04</t>
        </is>
      </c>
      <c r="D61" s="12" t="inlineStr">
        <is>
          <t>Hook</t>
        </is>
      </c>
      <c r="E61" s="13" t="inlineStr">
        <is>
          <t>Email masuk, wajah CS 😰</t>
        </is>
      </c>
      <c r="F61" s="13" t="inlineStr">
        <is>
          <t>—</t>
        </is>
      </c>
      <c r="G61" s="13" t="inlineStr">
        <is>
          <t>—</t>
        </is>
      </c>
      <c r="H61" s="13" t="inlineStr">
        <is>
          <t>📩 "Tolong hapus semua data saya."</t>
        </is>
      </c>
      <c r="I61" s="13" t="inlineStr">
        <is>
          <t>Email yang paling ditakuti customer service: tolong hapus semua data saya.</t>
        </is>
      </c>
      <c r="J61" s="13" t="inlineStr">
        <is>
          <t>notif + vine boom</t>
        </is>
      </c>
    </row>
    <row r="62" ht="58" customHeight="1">
      <c r="A62" s="9" t="inlineStr">
        <is>
          <t>M07</t>
        </is>
      </c>
      <c r="B62" s="9" t="n">
        <v>2</v>
      </c>
      <c r="C62" s="9" t="inlineStr">
        <is>
          <t>00:04–00:10</t>
        </is>
      </c>
      <c r="D62" s="14" t="inlineStr">
        <is>
          <t>Masalah</t>
        </is>
      </c>
      <c r="E62" s="5" t="inlineStr">
        <is>
          <t>Permohonan dari email, telepon, DM; kalender dihitung jari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Dari mana-mana · tenggat manual</t>
        </is>
      </c>
      <c r="I62" s="5" t="inlineStr">
        <is>
          <t>Permohonan masuk dari mana-mana, tenggatnya dihitung manual.</t>
        </is>
      </c>
      <c r="J62" s="5" t="inlineStr">
        <is>
          <t>tick</t>
        </is>
      </c>
    </row>
    <row r="63" ht="58" customHeight="1">
      <c r="A63" s="9" t="inlineStr">
        <is>
          <t>M07</t>
        </is>
      </c>
      <c r="B63" s="9" t="n">
        <v>3</v>
      </c>
      <c r="C63" s="9" t="inlineStr">
        <is>
          <t>00:10–00:18</t>
        </is>
      </c>
      <c r="D63" s="14" t="inlineStr">
        <is>
          <t>Solusi</t>
        </is>
      </c>
      <c r="E63" s="5" t="inlineStr">
        <is>
          <t>Formulir DSR</t>
        </is>
      </c>
      <c r="F63" s="5" t="inlineStr">
        <is>
          <t>motion/assets/app/dsr-form.png</t>
        </is>
      </c>
      <c r="G63" s="5" t="inlineStr">
        <is>
          <t>Siap pakai (kanban sudah diburamkan). Sorot isian pemohon &amp; tipe permintaan</t>
        </is>
      </c>
      <c r="H63" s="5" t="inlineStr">
        <is>
          <t>Formulir di situsmu</t>
        </is>
      </c>
      <c r="I63" s="5" t="inlineStr">
        <is>
          <t>Di Nexus, permohonan masuk lewat formulir yang bisa disematkan di situsmu.</t>
        </is>
      </c>
      <c r="J63" s="5" t="inlineStr">
        <is>
          <t>whoosh</t>
        </is>
      </c>
    </row>
    <row r="64" ht="58" customHeight="1">
      <c r="A64" s="9" t="inlineStr">
        <is>
          <t>M07</t>
        </is>
      </c>
      <c r="B64" s="9" t="n">
        <v>4</v>
      </c>
      <c r="C64" s="9" t="inlineStr">
        <is>
          <t>00:18–00:26</t>
        </is>
      </c>
      <c r="D64" s="14" t="inlineStr">
        <is>
          <t>Bukti</t>
        </is>
      </c>
      <c r="E64" s="5" t="inlineStr">
        <is>
          <t>Header detail DSR</t>
        </is>
      </c>
      <c r="F64" s="5" t="inlineStr">
        <is>
          <t>motion/assets/app/dsr-detail.png</t>
        </is>
      </c>
      <c r="G64" s="5" t="inlineStr">
        <is>
          <t>Siap pakai. Sorot pil "7h tersisa" + kode DSR</t>
        </is>
      </c>
      <c r="H64" s="5" t="inlineStr">
        <is>
          <t>Tenggat 72 jam otomatis</t>
        </is>
      </c>
      <c r="I64" s="5" t="inlineStr">
        <is>
          <t>Tenggat tujuh puluh dua jam dihitung otomatis sejak permohonan dicatat.</t>
        </is>
      </c>
      <c r="J64" s="5" t="inlineStr">
        <is>
          <t>clock</t>
        </is>
      </c>
    </row>
    <row r="65" ht="58" customHeight="1">
      <c r="A65" s="9" t="inlineStr">
        <is>
          <t>M07</t>
        </is>
      </c>
      <c r="B65" s="9" t="n">
        <v>5</v>
      </c>
      <c r="C65" s="9" t="inlineStr">
        <is>
          <t>00:26–00:34</t>
        </is>
      </c>
      <c r="D65" s="14" t="inlineStr">
        <is>
          <t>Bukti</t>
        </is>
      </c>
      <c r="E65" s="5" t="inlineStr">
        <is>
          <t>Tab Scope: pilih sistem</t>
        </is>
      </c>
      <c r="F65" s="5" t="inlineStr">
        <is>
          <t>dataroom/03-tenant/dsr/06-tab-scope.png</t>
        </is>
      </c>
      <c r="G65" s="5" t="inlineStr">
        <is>
          <t>Crop [262,40,1002,560]. Blur blok user sidebar [0,470,262,140] atau crop mulai x=262. Sorot daftar sistem</t>
        </is>
      </c>
      <c r="H65" s="5" t="inlineStr">
        <is>
          <t>Pilih sistem yang menyimpan datanya</t>
        </is>
      </c>
      <c r="I65" s="5" t="inlineStr">
        <is>
          <t>Pilih sistem mana saja yang menyimpan data si pemohon…</t>
        </is>
      </c>
      <c r="J65" s="5" t="inlineStr">
        <is>
          <t>pop</t>
        </is>
      </c>
    </row>
    <row r="66" ht="58" customHeight="1">
      <c r="A66" s="9" t="inlineStr">
        <is>
          <t>M07</t>
        </is>
      </c>
      <c r="B66" s="9" t="n">
        <v>6</v>
      </c>
      <c r="C66" s="9" t="inlineStr">
        <is>
          <t>00:34–00:42</t>
        </is>
      </c>
      <c r="D66" s="14" t="inlineStr">
        <is>
          <t>Bukti</t>
        </is>
      </c>
      <c r="E66" s="5" t="inlineStr">
        <is>
          <t>Tab SQL Pack</t>
        </is>
      </c>
      <c r="F66" s="5" t="inlineStr">
        <is>
          <t>dataroom/03-tenant/dsr/07-tab-sqlpack.png</t>
        </is>
      </c>
      <c r="G66" s="5" t="inlineStr">
        <is>
          <t>Crop [262,40,1002,480]. Blur blok user sidebar [0,470,262,140] atau crop mulai x=262. Sorot tombol "Generate SQL Pack"</t>
        </is>
      </c>
      <c r="H66" s="5" t="inlineStr">
        <is>
          <t>Paket SQL siap dieksekusi</t>
        </is>
      </c>
      <c r="I66" s="5" t="inlineStr">
        <is>
          <t>…Nexus menyiapkan paket SQL-nya, tim kalian yang mengeksekusi di sistem sendiri.</t>
        </is>
      </c>
      <c r="J66" s="5" t="inlineStr">
        <is>
          <t>key</t>
        </is>
      </c>
    </row>
    <row r="67" ht="58" customHeight="1">
      <c r="A67" s="9" t="inlineStr">
        <is>
          <t>M07</t>
        </is>
      </c>
      <c r="B67" s="9" t="n">
        <v>7</v>
      </c>
      <c r="C67" s="9" t="inlineStr">
        <is>
          <t>00:42–00:50</t>
        </is>
      </c>
      <c r="D67" s="14" t="inlineStr">
        <is>
          <t>Bukti</t>
        </is>
      </c>
      <c r="E67" s="5" t="inlineStr">
        <is>
          <t>Tab Sertifikat</t>
        </is>
      </c>
      <c r="F67" s="5" t="inlineStr">
        <is>
          <t>dataroom/03-tenant/dsr/09-tab-certificates.png</t>
        </is>
      </c>
      <c r="G67" s="5" t="inlineStr">
        <is>
          <t>Crop [262,40,1002,420]. Blur blok user sidebar [0,470,262,140] atau crop mulai x=262. Sorot Subject Certificate &amp; Internal Certificate</t>
        </is>
      </c>
      <c r="H67" s="5" t="inlineStr">
        <is>
          <t>Sertifikat penyelesaian otomatis</t>
        </is>
      </c>
      <c r="I67" s="5" t="inlineStr">
        <is>
          <t>Selesai? Sertifikat penyelesaian untuk pemohon dan untuk internal dibuat otomatis.</t>
        </is>
      </c>
      <c r="J67" s="5" t="inlineStr">
        <is>
          <t>correct</t>
        </is>
      </c>
    </row>
    <row r="68" ht="58" customHeight="1">
      <c r="A68" s="9" t="inlineStr">
        <is>
          <t>M07</t>
        </is>
      </c>
      <c r="B68" s="9" t="n">
        <v>8</v>
      </c>
      <c r="C68" s="9" t="inlineStr">
        <is>
          <t>00:50–00:55</t>
        </is>
      </c>
      <c r="D68" s="14" t="inlineStr">
        <is>
          <t>Bukti</t>
        </is>
      </c>
      <c r="E68" s="5" t="inlineStr">
        <is>
          <t>Ikon alur Handler → Reviewer → Approver + ikon AI</t>
        </is>
      </c>
      <c r="F68" s="5" t="inlineStr">
        <is>
          <t>—</t>
        </is>
      </c>
      <c r="G68" s="5" t="inlineStr">
        <is>
          <t>—</t>
        </is>
      </c>
      <c r="H68" s="5" t="inlineStr">
        <is>
          <t>Alur tercatat · draf jawaban dibantu AI</t>
        </is>
      </c>
      <c r="I68" s="5" t="inlineStr">
        <is>
          <t>Alurnya tercatat, draf jawabannya dibantu AI.</t>
        </is>
      </c>
      <c r="J68" s="5" t="inlineStr">
        <is>
          <t>check</t>
        </is>
      </c>
    </row>
    <row r="69" ht="58" customHeight="1">
      <c r="A69" s="18" t="inlineStr">
        <is>
          <t>M07</t>
        </is>
      </c>
      <c r="B69" s="18" t="n">
        <v>9</v>
      </c>
      <c r="C69" s="18" t="inlineStr">
        <is>
          <t>00:55–01:00</t>
        </is>
      </c>
      <c r="D69" s="19" t="inlineStr">
        <is>
          <t>CTA</t>
        </is>
      </c>
      <c r="E69" s="20" t="inlineStr">
        <is>
          <t>Logo</t>
        </is>
      </c>
      <c r="F69" s="20" t="inlineStr">
        <is>
          <t>—</t>
        </is>
      </c>
      <c r="G69" s="20" t="inlineStr">
        <is>
          <t>—</t>
        </is>
      </c>
      <c r="H69" s="20" t="inlineStr">
        <is>
          <t>Setiap permohonan, tepat waktu.</t>
        </is>
      </c>
      <c r="I69" s="20" t="inlineStr">
        <is>
          <t>Setiap permohonan, dijawab tepat waktu. Privasimu Nexus.</t>
        </is>
      </c>
      <c r="J69" s="20" t="inlineStr">
        <is>
          <t>sonic logo</t>
        </is>
      </c>
    </row>
    <row r="71" ht="36" customHeight="1">
      <c r="A71" s="25" t="inlineStr">
        <is>
          <t>M08 · Consent &amp; Cookie · "Klik "Setuju" tanpa bukti = tidak pernah setuju" · 60 dtk · Hook (Logika dipatahkan): Pelanggan sudah klik "Setuju". Pertanyaannya: bisa kamu buktikan?</t>
        </is>
      </c>
    </row>
    <row r="72" ht="58" customHeight="1">
      <c r="A72" s="11" t="inlineStr">
        <is>
          <t>M08</t>
        </is>
      </c>
      <c r="B72" s="11" t="n">
        <v>1</v>
      </c>
      <c r="C72" s="11" t="inlineStr">
        <is>
          <t>00:00–00:04</t>
        </is>
      </c>
      <c r="D72" s="12" t="inlineStr">
        <is>
          <t>Hook</t>
        </is>
      </c>
      <c r="E72" s="13" t="inlineStr">
        <is>
          <t>Kursor klik ✅ "Saya setuju", lalu tanda tanya besar</t>
        </is>
      </c>
      <c r="F72" s="13" t="inlineStr">
        <is>
          <t>—</t>
        </is>
      </c>
      <c r="G72" s="13" t="inlineStr">
        <is>
          <t>—</t>
        </is>
      </c>
      <c r="H72" s="13" t="inlineStr">
        <is>
          <t>Sudah klik "Setuju". Bisa dibuktikan?</t>
        </is>
      </c>
      <c r="I72" s="13" t="inlineStr">
        <is>
          <t>Pelanggan sudah klik setuju. Pertanyaannya: bisa kamu buktikan?</t>
        </is>
      </c>
      <c r="J72" s="13" t="inlineStr">
        <is>
          <t>klik + vine boom</t>
        </is>
      </c>
    </row>
    <row r="73" ht="58" customHeight="1">
      <c r="A73" s="9" t="inlineStr">
        <is>
          <t>M08</t>
        </is>
      </c>
      <c r="B73" s="9" t="n">
        <v>2</v>
      </c>
      <c r="C73" s="9" t="inlineStr">
        <is>
          <t>00:04–00:10</t>
        </is>
      </c>
      <c r="D73" s="14" t="inlineStr">
        <is>
          <t>Masalah</t>
        </is>
      </c>
      <c r="E73" s="5" t="inlineStr">
        <is>
          <t>Checkbox tanpa jejak; penarikan "nyangkut" di satu sistem</t>
        </is>
      </c>
      <c r="F73" s="5" t="inlineStr">
        <is>
          <t>—</t>
        </is>
      </c>
      <c r="G73" s="5" t="inlineStr">
        <is>
          <t>—</t>
        </is>
      </c>
      <c r="H73" s="5" t="inlineStr">
        <is>
          <t>Tanpa bukti · penarikan tak tersebar</t>
        </is>
      </c>
      <c r="I73" s="5" t="inlineStr">
        <is>
          <t>Kotak centang tanpa bukti, dan penarikan persetujuan yang tidak sampai ke semua sistem.</t>
        </is>
      </c>
      <c r="J73" s="5" t="inlineStr">
        <is>
          <t>buzzer</t>
        </is>
      </c>
    </row>
    <row r="74" ht="58" customHeight="1">
      <c r="A74" s="9" t="inlineStr">
        <is>
          <t>M08</t>
        </is>
      </c>
      <c r="B74" s="9" t="n">
        <v>3</v>
      </c>
      <c r="C74" s="9" t="inlineStr">
        <is>
          <t>00:10–00:20</t>
        </is>
      </c>
      <c r="D74" s="14" t="inlineStr">
        <is>
          <t>Solusi</t>
        </is>
      </c>
      <c r="E74" s="5" t="inlineStr">
        <is>
          <t>Daftar collection point</t>
        </is>
      </c>
      <c r="F74" s="5" t="inlineStr">
        <is>
          <t>dataroom/03-tenant/consent/01-overview.png</t>
        </is>
      </c>
      <c r="G74" s="5" t="inlineStr">
        <is>
          <t>Crop [262,40,1002,560]. BLUR kolom Domain. Blur blok user sidebar [0,470,262,140] atau crop mulai x=262</t>
        </is>
      </c>
      <c r="H74" s="5" t="inlineStr">
        <is>
          <t>Setiap titik pengumpulan tercatat</t>
        </is>
      </c>
      <c r="I74" s="5" t="inlineStr">
        <is>
          <t>Di Nexus, setiap titik pengumpulan persetujuan tercatat: web, aplikasi, sampai loket.</t>
        </is>
      </c>
      <c r="J74" s="5" t="inlineStr">
        <is>
          <t>whoosh</t>
        </is>
      </c>
    </row>
    <row r="75" ht="58" customHeight="1">
      <c r="A75" s="9" t="inlineStr">
        <is>
          <t>M08</t>
        </is>
      </c>
      <c r="B75" s="9" t="n">
        <v>4</v>
      </c>
      <c r="C75" s="9" t="inlineStr">
        <is>
          <t>00:20–00:28</t>
        </is>
      </c>
      <c r="D75" s="14" t="inlineStr">
        <is>
          <t>Bukti</t>
        </is>
      </c>
      <c r="E75" s="5" t="inlineStr">
        <is>
          <t>Kode sematan &amp; tab log</t>
        </is>
      </c>
      <c r="F75" s="5" t="inlineStr">
        <is>
          <t>dataroom/03-tenant/consent/03-embed-code.png</t>
        </is>
      </c>
      <c r="G75" s="5" t="inlineStr">
        <is>
          <t>Crop [262,40,1002,420]. BLUR URL collection point. Blur blok user sidebar [0,470,262,140] atau crop mulai x=262. Sorot tab Consent Logs &amp; Widget Builder</t>
        </is>
      </c>
      <c r="H75" s="5" t="inlineStr">
        <is>
          <t>Tersimpan beserta bukti</t>
        </is>
      </c>
      <c r="I75" s="5" t="inlineStr">
        <is>
          <t>Pasang lewat kode sematan, dan setiap persetujuan tersimpan beserta buktinya.</t>
        </is>
      </c>
      <c r="J75" s="5" t="inlineStr">
        <is>
          <t>pop</t>
        </is>
      </c>
    </row>
    <row r="76" ht="58" customHeight="1">
      <c r="A76" s="9" t="inlineStr">
        <is>
          <t>M08</t>
        </is>
      </c>
      <c r="B76" s="9" t="n">
        <v>5</v>
      </c>
      <c r="C76" s="9" t="inlineStr">
        <is>
          <t>00:28–00:36</t>
        </is>
      </c>
      <c r="D76" s="14" t="inlineStr">
        <is>
          <t>Bukti</t>
        </is>
      </c>
      <c r="E76" s="5" t="inlineStr">
        <is>
          <t>Integrasi consent</t>
        </is>
      </c>
      <c r="F76" s="5" t="inlineStr">
        <is>
          <t>motion/assets/app/consent-detail.png</t>
        </is>
      </c>
      <c r="G76" s="5" t="inlineStr">
        <is>
          <t>Siap pakai (API key diburamkan). Sorot Preference Center, API, Webhook</t>
        </is>
      </c>
      <c r="H76" s="5" t="inlineStr">
        <is>
          <t>Penarikan menyebar lewat API &amp; webhook</t>
        </is>
      </c>
      <c r="I76" s="5" t="inlineStr">
        <is>
          <t>Penarikan persetujuan disebarkan ke sistem lain lewat API dan webhook.</t>
        </is>
      </c>
      <c r="J76" s="5" t="inlineStr">
        <is>
          <t>sweep</t>
        </is>
      </c>
    </row>
    <row r="77" ht="58" customHeight="1">
      <c r="A77" s="9" t="inlineStr">
        <is>
          <t>M08</t>
        </is>
      </c>
      <c r="B77" s="9" t="n">
        <v>6</v>
      </c>
      <c r="C77" s="9" t="inlineStr">
        <is>
          <t>00:36–00:44</t>
        </is>
      </c>
      <c r="D77" s="14" t="inlineStr">
        <is>
          <t>Bukti</t>
        </is>
      </c>
      <c r="E77" s="5" t="inlineStr">
        <is>
          <t>Pratinjau banner cookie &amp; form</t>
        </is>
      </c>
      <c r="F77" s="5" t="inlineStr">
        <is>
          <t>frontend/tmp/audit4/consent__preview.png</t>
        </is>
      </c>
      <c r="G77" s="5" t="inlineStr">
        <is>
          <t>Crop [200,40,1240,480]. Blur nama org [300,22,200,26]; buang sidebar (x&lt;200). Sorot kartu Cookie Banner &amp; Consent Form</t>
        </is>
      </c>
      <c r="H77" s="5" t="inlineStr">
        <is>
          <t>Banner cookie siap sematan</t>
        </is>
      </c>
      <c r="I77" s="5" t="inlineStr">
        <is>
          <t>Banner cookie dan pusat preferensi bisa langsung disematkan.</t>
        </is>
      </c>
      <c r="J77" s="5" t="inlineStr">
        <is>
          <t>pop</t>
        </is>
      </c>
    </row>
    <row r="78" ht="58" customHeight="1">
      <c r="A78" s="9" t="inlineStr">
        <is>
          <t>M08</t>
        </is>
      </c>
      <c r="B78" s="9" t="n">
        <v>7</v>
      </c>
      <c r="C78" s="9" t="inlineStr">
        <is>
          <t>00:44–00:52</t>
        </is>
      </c>
      <c r="D78" s="14" t="inlineStr">
        <is>
          <t>Bukti</t>
        </is>
      </c>
      <c r="E78" s="5" t="inlineStr">
        <is>
          <t>Ringkasan cookie</t>
        </is>
      </c>
      <c r="F78" s="5" t="inlineStr">
        <is>
          <t>dataroom/03-tenant/cookie/01-overview.png</t>
        </is>
      </c>
      <c r="G78" s="5" t="inlineStr">
        <is>
          <t>Crop HANYA kartu KPI [262,60,1002,160]. JANGAN tampilkan tabel (ada nama layanan &amp; domain nyata)</t>
        </is>
      </c>
      <c r="H78" s="5" t="inlineStr">
        <is>
          <t>Terpantau dari satu tempat</t>
        </is>
      </c>
      <c r="I78" s="5" t="inlineStr">
        <is>
          <t>Semua terpantau dari satu tempat.</t>
        </is>
      </c>
      <c r="J78" s="5" t="inlineStr">
        <is>
          <t>ding</t>
        </is>
      </c>
    </row>
    <row r="79" ht="58" customHeight="1">
      <c r="A79" s="18" t="inlineStr">
        <is>
          <t>M08</t>
        </is>
      </c>
      <c r="B79" s="18" t="n">
        <v>8</v>
      </c>
      <c r="C79" s="18" t="inlineStr">
        <is>
          <t>00:52–01:00</t>
        </is>
      </c>
      <c r="D79" s="19" t="inlineStr">
        <is>
          <t>CTA</t>
        </is>
      </c>
      <c r="E79" s="20" t="inlineStr">
        <is>
          <t>Logo</t>
        </is>
      </c>
      <c r="F79" s="20" t="inlineStr">
        <is>
          <t>—</t>
        </is>
      </c>
      <c r="G79" s="20" t="inlineStr">
        <is>
          <t>—</t>
        </is>
      </c>
      <c r="H79" s="20" t="inlineStr">
        <is>
          <t>Setuju harus bisa dibuktikan.</t>
        </is>
      </c>
      <c r="I79" s="20" t="inlineStr">
        <is>
          <t>Setuju itu harus bisa dibuktikan. Privasimu Nexus.</t>
        </is>
      </c>
      <c r="J79" s="20" t="inlineStr">
        <is>
          <t>sonic logo</t>
        </is>
      </c>
    </row>
    <row r="81" ht="36" customHeight="1">
      <c r="A81" s="25" t="inlineStr">
        <is>
          <t>M09 · Children Pro (persetujuan wali) · "Pengguna termuda juga butuh izin (walinya)" · 45 dtk · Hook (Anomali): Pengguna paling setia aplikasimu… mungkin masih kelas 5 SD.</t>
        </is>
      </c>
    </row>
    <row r="82" ht="58" customHeight="1">
      <c r="A82" s="11" t="inlineStr">
        <is>
          <t>M09</t>
        </is>
      </c>
      <c r="B82" s="11" t="n">
        <v>1</v>
      </c>
      <c r="C82" s="11" t="inlineStr">
        <is>
          <t>00:00–00:04</t>
        </is>
      </c>
      <c r="D82" s="12" t="inlineStr">
        <is>
          <t>Hook</t>
        </is>
      </c>
      <c r="E82" s="13" t="inlineStr">
        <is>
          <t>Avatar anak dengan lencana "Top User"</t>
        </is>
      </c>
      <c r="F82" s="13" t="inlineStr">
        <is>
          <t>—</t>
        </is>
      </c>
      <c r="G82" s="13" t="inlineStr">
        <is>
          <t>—</t>
        </is>
      </c>
      <c r="H82" s="13" t="inlineStr">
        <is>
          <t>Pengguna paling setia: umur 11?</t>
        </is>
      </c>
      <c r="I82" s="13" t="inlineStr">
        <is>
          <t>Pengguna paling setia aplikasimu… mungkin masih kelas lima SD.</t>
        </is>
      </c>
      <c r="J82" s="13" t="inlineStr">
        <is>
          <t>pop</t>
        </is>
      </c>
    </row>
    <row r="83" ht="58" customHeight="1">
      <c r="A83" s="9" t="inlineStr">
        <is>
          <t>M09</t>
        </is>
      </c>
      <c r="B83" s="9" t="n">
        <v>2</v>
      </c>
      <c r="C83" s="9" t="inlineStr">
        <is>
          <t>00:04–00:12</t>
        </is>
      </c>
      <c r="D83" s="14" t="inlineStr">
        <is>
          <t>Fakta</t>
        </is>
      </c>
      <c r="E83" s="5" t="inlineStr">
        <is>
          <t>Ikon perisai + teks pasal</t>
        </is>
      </c>
      <c r="F83" s="5" t="inlineStr">
        <is>
          <t>—</t>
        </is>
      </c>
      <c r="G83" s="5" t="inlineStr">
        <is>
          <t>—</t>
        </is>
      </c>
      <c r="H83" s="5" t="inlineStr">
        <is>
          <t>Data anak = data spesifik · butuh persetujuan wali</t>
        </is>
      </c>
      <c r="I83" s="5" t="inlineStr">
        <is>
          <t>Data anak termasuk data pribadi spesifik, dan pemrosesannya butuh persetujuan orang tua atau wali.</t>
        </is>
      </c>
      <c r="J83" s="5" t="inlineStr">
        <is>
          <t>paper</t>
        </is>
      </c>
    </row>
    <row r="84" ht="58" customHeight="1">
      <c r="A84" s="9" t="inlineStr">
        <is>
          <t>M09</t>
        </is>
      </c>
      <c r="B84" s="9" t="n">
        <v>3</v>
      </c>
      <c r="C84" s="9" t="inlineStr">
        <is>
          <t>00:12–00:22</t>
        </is>
      </c>
      <c r="D84" s="14" t="inlineStr">
        <is>
          <t>Solusi</t>
        </is>
      </c>
      <c r="E84" s="5" t="inlineStr">
        <is>
          <t>Modul Children Pro</t>
        </is>
      </c>
      <c r="F84" s="5" t="inlineStr">
        <is>
          <t>motion/assets/app/children-pro.png</t>
        </is>
      </c>
      <c r="G84" s="5" t="inlineStr">
        <is>
          <t>Siap pakai. Sorot tab Kewenangan Wali / Menunggu / Peralihan</t>
        </is>
      </c>
      <c r="H84" s="5" t="inlineStr">
        <is>
          <t>Children Pro</t>
        </is>
      </c>
      <c r="I84" s="5" t="inlineStr">
        <is>
          <t>Children Pro mengelola persetujuan wali per aplikasi…</t>
        </is>
      </c>
      <c r="J84" s="5" t="inlineStr">
        <is>
          <t>whoosh</t>
        </is>
      </c>
    </row>
    <row r="85" ht="58" customHeight="1">
      <c r="A85" s="9" t="inlineStr">
        <is>
          <t>M09</t>
        </is>
      </c>
      <c r="B85" s="9" t="n">
        <v>4</v>
      </c>
      <c r="C85" s="9" t="inlineStr">
        <is>
          <t>00:22–00:32</t>
        </is>
      </c>
      <c r="D85" s="14" t="inlineStr">
        <is>
          <t>Bukti</t>
        </is>
      </c>
      <c r="E85" s="5" t="inlineStr">
        <is>
          <t>Tab metode verifikasi &amp; DSR anak</t>
        </is>
      </c>
      <c r="F85" s="5" t="inlineStr">
        <is>
          <t>frontend/tmp/audit4/consent-guardian.png</t>
        </is>
      </c>
      <c r="G85" s="5" t="inlineStr">
        <is>
          <t>Crop [200,40,1240,300] (tabel masih kosong). Blur nama org [300,22,200,26]; buang sidebar (x&lt;200). Versi final: AMBIL SCREENSHOT BARU dengan wali &amp; anak fiktif</t>
        </is>
      </c>
      <c r="H85" s="5" t="inlineStr">
        <is>
          <t>Verifikasi wali · DSR anak</t>
        </is>
      </c>
      <c r="I85" s="5" t="inlineStr">
        <is>
          <t>…lengkap dengan metode verifikasi wali dan permohonan hak untuk anak.</t>
        </is>
      </c>
      <c r="J85" s="5" t="inlineStr">
        <is>
          <t>check</t>
        </is>
      </c>
    </row>
    <row r="86" ht="58" customHeight="1">
      <c r="A86" s="9" t="inlineStr">
        <is>
          <t>M09</t>
        </is>
      </c>
      <c r="B86" s="9" t="n">
        <v>5</v>
      </c>
      <c r="C86" s="9" t="inlineStr">
        <is>
          <t>00:32–00:38</t>
        </is>
      </c>
      <c r="D86" s="14" t="inlineStr">
        <is>
          <t>Bukti</t>
        </is>
      </c>
      <c r="E86" s="5" t="inlineStr">
        <is>
          <t>Kue ulang tahun ke-18 → kunci berpindah</t>
        </is>
      </c>
      <c r="F86" s="5" t="inlineStr">
        <is>
          <t>—</t>
        </is>
      </c>
      <c r="G86" s="5" t="inlineStr">
        <is>
          <t>—</t>
        </is>
      </c>
      <c r="H86" s="5" t="inlineStr">
        <is>
          <t>Usia 18: kewenangan beralih</t>
        </is>
      </c>
      <c r="I86" s="5" t="inlineStr">
        <is>
          <t>Dan saat anak berusia delapan belas, kewenangannya beralih.</t>
        </is>
      </c>
      <c r="J86" s="5" t="inlineStr">
        <is>
          <t>shimmer</t>
        </is>
      </c>
    </row>
    <row r="87" ht="58" customHeight="1">
      <c r="A87" s="18" t="inlineStr">
        <is>
          <t>M09</t>
        </is>
      </c>
      <c r="B87" s="18" t="n">
        <v>6</v>
      </c>
      <c r="C87" s="18" t="inlineStr">
        <is>
          <t>00:38–00:45</t>
        </is>
      </c>
      <c r="D87" s="19" t="inlineStr">
        <is>
          <t>CTA</t>
        </is>
      </c>
      <c r="E87" s="20" t="inlineStr">
        <is>
          <t>Logo</t>
        </is>
      </c>
      <c r="F87" s="20" t="inlineStr">
        <is>
          <t>—</t>
        </is>
      </c>
      <c r="G87" s="20" t="inlineStr">
        <is>
          <t>—</t>
        </is>
      </c>
      <c r="H87" s="20" t="inlineStr">
        <is>
          <t>Pengguna termuda, dilindungi paling serius.</t>
        </is>
      </c>
      <c r="I87" s="20" t="inlineStr">
        <is>
          <t>Pengguna termuda, dilindungi paling serius. Privasimu Nexus.</t>
        </is>
      </c>
      <c r="J87" s="20" t="inlineStr">
        <is>
          <t>sonic logo</t>
        </is>
      </c>
    </row>
    <row r="89" ht="36" customHeight="1">
      <c r="A89" s="25" t="inlineStr">
        <is>
          <t>M10 · Inclusive Privacy · "Persetujuan yang bisa dipahami semua orang" · 45 dtk · Hook (Reverse psychology): Coba setujui syarat &amp; ketentuan ini… dengan mata tertutup.</t>
        </is>
      </c>
    </row>
    <row r="90" ht="58" customHeight="1">
      <c r="A90" s="11" t="inlineStr">
        <is>
          <t>M10</t>
        </is>
      </c>
      <c r="B90" s="11" t="n">
        <v>1</v>
      </c>
      <c r="C90" s="11" t="inlineStr">
        <is>
          <t>00:00–00:04</t>
        </is>
      </c>
      <c r="D90" s="12" t="inlineStr">
        <is>
          <t>Hook</t>
        </is>
      </c>
      <c r="E90" s="13" t="inlineStr">
        <is>
          <t>Layar menggelap, hanya suara</t>
        </is>
      </c>
      <c r="F90" s="13" t="inlineStr">
        <is>
          <t>—</t>
        </is>
      </c>
      <c r="G90" s="13" t="inlineStr">
        <is>
          <t>—</t>
        </is>
      </c>
      <c r="H90" s="13" t="inlineStr">
        <is>
          <t>Setujui ini… dengan mata tertutup.</t>
        </is>
      </c>
      <c r="I90" s="13" t="inlineStr">
        <is>
          <t>Coba setujui syarat dan ketentuan ini… dengan mata tertutup.</t>
        </is>
      </c>
      <c r="J90" s="13" t="inlineStr">
        <is>
          <t>efek VO "robot" (pembaca layar)</t>
        </is>
      </c>
    </row>
    <row r="91" ht="58" customHeight="1">
      <c r="A91" s="9" t="inlineStr">
        <is>
          <t>M10</t>
        </is>
      </c>
      <c r="B91" s="9" t="n">
        <v>2</v>
      </c>
      <c r="C91" s="9" t="inlineStr">
        <is>
          <t>00:04–00:12</t>
        </is>
      </c>
      <c r="D91" s="14" t="inlineStr">
        <is>
          <t>Empati</t>
        </is>
      </c>
      <c r="E91" s="5" t="inlineStr">
        <is>
          <t>Layar kembali terang pelan</t>
        </is>
      </c>
      <c r="F91" s="5" t="inlineStr">
        <is>
          <t>—</t>
        </is>
      </c>
      <c r="G91" s="5" t="inlineStr">
        <is>
          <t>—</t>
        </is>
      </c>
      <c r="H91" s="5" t="inlineStr">
        <is>
          <t>Bagi sebagian pengguna, ini sehari-hari</t>
        </is>
      </c>
      <c r="I91" s="5" t="inlineStr">
        <is>
          <t>Bagi sebagian penggunamu, itu kenyataan sehari-hari.</t>
        </is>
      </c>
      <c r="J91" s="5" t="inlineStr">
        <is>
          <t>musik lembut</t>
        </is>
      </c>
    </row>
    <row r="92" ht="58" customHeight="1">
      <c r="A92" s="9" t="inlineStr">
        <is>
          <t>M10</t>
        </is>
      </c>
      <c r="B92" s="9" t="n">
        <v>3</v>
      </c>
      <c r="C92" s="9" t="inlineStr">
        <is>
          <t>00:12–00:24</t>
        </is>
      </c>
      <c r="D92" s="14" t="inlineStr">
        <is>
          <t>Solusi</t>
        </is>
      </c>
      <c r="E92" s="5" t="inlineStr">
        <is>
          <t>Modul Inclusive Privacy</t>
        </is>
      </c>
      <c r="F92" s="5" t="inlineStr">
        <is>
          <t>motion/assets/app/inclusive-privacy.png</t>
        </is>
      </c>
      <c r="G92" s="5" t="inlineStr">
        <is>
          <t>Siap pakai. Sorot judul &amp; tab</t>
        </is>
      </c>
      <c r="H92" s="5" t="inlineStr">
        <is>
          <t>Inclusive Privacy</t>
        </is>
      </c>
      <c r="I92" s="5" t="inlineStr">
        <is>
          <t>Inclusive Privacy menyiapkan persetujuan yang aksesibel bagi penyandang disabilitas…</t>
        </is>
      </c>
      <c r="J92" s="5" t="inlineStr">
        <is>
          <t>whoosh</t>
        </is>
      </c>
    </row>
    <row r="93" ht="58" customHeight="1">
      <c r="A93" s="9" t="inlineStr">
        <is>
          <t>M10</t>
        </is>
      </c>
      <c r="B93" s="9" t="n">
        <v>4</v>
      </c>
      <c r="C93" s="9" t="inlineStr">
        <is>
          <t>00:24–00:34</t>
        </is>
      </c>
      <c r="D93" s="14" t="inlineStr">
        <is>
          <t>Bukti</t>
        </is>
      </c>
      <c r="E93" s="5" t="inlineStr">
        <is>
          <t>Tab aksesibilitas &amp; DSR disabilitas</t>
        </is>
      </c>
      <c r="F93" s="5" t="inlineStr">
        <is>
          <t>frontend/tmp/audit4/consent-accessibility.png</t>
        </is>
      </c>
      <c r="G93" s="5" t="inlineStr">
        <is>
          <t>Crop [200,40,1240,300] (tabel kosong). Blur nama org [300,22,200,26]; buang sidebar (x&lt;200). Versi final: AMBIL SCREENSHOT BARU dengan contoh</t>
        </is>
      </c>
      <c r="H93" s="5" t="inlineStr">
        <is>
          <t>Pendamping · DSR ramah disabilitas</t>
        </is>
      </c>
      <c r="I93" s="5" t="inlineStr">
        <is>
          <t>…termasuk pengaturan pendamping dan permohonan hak yang ramah disabilitas.</t>
        </is>
      </c>
      <c r="J93" s="5" t="inlineStr">
        <is>
          <t>check</t>
        </is>
      </c>
    </row>
    <row r="94" ht="58" customHeight="1">
      <c r="A94" s="18" t="inlineStr">
        <is>
          <t>M10</t>
        </is>
      </c>
      <c r="B94" s="18" t="n">
        <v>5</v>
      </c>
      <c r="C94" s="18" t="inlineStr">
        <is>
          <t>00:34–00:45</t>
        </is>
      </c>
      <c r="D94" s="19" t="inlineStr">
        <is>
          <t>CTA</t>
        </is>
      </c>
      <c r="E94" s="20" t="inlineStr">
        <is>
          <t>Logo</t>
        </is>
      </c>
      <c r="F94" s="20" t="inlineStr">
        <is>
          <t>—</t>
        </is>
      </c>
      <c r="G94" s="20" t="inlineStr">
        <is>
          <t>—</t>
        </is>
      </c>
      <c r="H94" s="20" t="inlineStr">
        <is>
          <t>Persetujuan untuk semua orang.</t>
        </is>
      </c>
      <c r="I94" s="20" t="inlineStr">
        <is>
          <t>Persetujuan yang bisa dipahami semua orang. Privasimu Nexus.</t>
        </is>
      </c>
      <c r="J94" s="20" t="inlineStr">
        <is>
          <t>sonic logo</t>
        </is>
      </c>
    </row>
    <row r="96" ht="36" customHeight="1">
      <c r="A96" s="25" t="inlineStr">
        <is>
          <t>M11 · Manajemen Insiden (Data Breach) · "Jam 3 pagi, notifikasi masuk" · 60 dtk · Hook (Relate): Jam 3 pagi. Notifikasi ini masuk: "Dugaan kebocoran data."</t>
        </is>
      </c>
    </row>
    <row r="97" ht="58" customHeight="1">
      <c r="A97" s="11" t="inlineStr">
        <is>
          <t>M11</t>
        </is>
      </c>
      <c r="B97" s="11" t="n">
        <v>1</v>
      </c>
      <c r="C97" s="11" t="inlineStr">
        <is>
          <t>00:00–00:04</t>
        </is>
      </c>
      <c r="D97" s="12" t="inlineStr">
        <is>
          <t>Hook</t>
        </is>
      </c>
      <c r="E97" s="13" t="inlineStr">
        <is>
          <t>HP bergetar di meja gelap, jam 03.00</t>
        </is>
      </c>
      <c r="F97" s="13" t="inlineStr">
        <is>
          <t>—</t>
        </is>
      </c>
      <c r="G97" s="13" t="inlineStr">
        <is>
          <t>—</t>
        </is>
      </c>
      <c r="H97" s="13" t="inlineStr">
        <is>
          <t>03.00 · ⚠️ Dugaan kebocoran data</t>
        </is>
      </c>
      <c r="I97" s="13" t="inlineStr">
        <is>
          <t>Jam tiga pagi. Notifikasi ini masuk.</t>
        </is>
      </c>
      <c r="J97" s="13" t="inlineStr">
        <is>
          <t>notif + alarm</t>
        </is>
      </c>
    </row>
    <row r="98" ht="58" customHeight="1">
      <c r="A98" s="9" t="inlineStr">
        <is>
          <t>M11</t>
        </is>
      </c>
      <c r="B98" s="9" t="n">
        <v>2</v>
      </c>
      <c r="C98" s="9" t="inlineStr">
        <is>
          <t>00:04–00:10</t>
        </is>
      </c>
      <c r="D98" s="14" t="inlineStr">
        <is>
          <t>Fakta</t>
        </is>
      </c>
      <c r="E98" s="5" t="inlineStr">
        <is>
          <t>Hitung mundur 72:00:00</t>
        </is>
      </c>
      <c r="F98" s="5" t="inlineStr">
        <is>
          <t>—</t>
        </is>
      </c>
      <c r="G98" s="5" t="inlineStr">
        <is>
          <t>—</t>
        </is>
      </c>
      <c r="H98" s="5" t="inlineStr">
        <is>
          <t>Wajib lapor paling lambat 3×24 jam</t>
        </is>
      </c>
      <c r="I98" s="5" t="inlineStr">
        <is>
          <t>Pemberitahuan tertulis paling lambat tiga kali dua puluh empat jam.</t>
        </is>
      </c>
      <c r="J98" s="5" t="inlineStr">
        <is>
          <t>clock</t>
        </is>
      </c>
    </row>
    <row r="99" ht="58" customHeight="1">
      <c r="A99" s="9" t="inlineStr">
        <is>
          <t>M11</t>
        </is>
      </c>
      <c r="B99" s="9" t="n">
        <v>3</v>
      </c>
      <c r="C99" s="9" t="inlineStr">
        <is>
          <t>00:10–00:18</t>
        </is>
      </c>
      <c r="D99" s="14" t="inlineStr">
        <is>
          <t>Masalah</t>
        </is>
      </c>
      <c r="E99" s="5" t="inlineStr">
        <is>
          <t>Pertanyaan beruntun muncul</t>
        </is>
      </c>
      <c r="F99" s="5" t="inlineStr">
        <is>
          <t>—</t>
        </is>
      </c>
      <c r="G99" s="5" t="inlineStr">
        <is>
          <t>—</t>
        </is>
      </c>
      <c r="H99" s="5" t="inlineStr">
        <is>
          <t>Templat? PIC? Kronologi?</t>
        </is>
      </c>
      <c r="I99" s="5" t="inlineStr">
        <is>
          <t>Biasanya panik dulu: templatnya mana, siapa yang pegang, kronologinya bagaimana?</t>
        </is>
      </c>
      <c r="J99" s="5" t="inlineStr">
        <is>
          <t>heartbeat</t>
        </is>
      </c>
    </row>
    <row r="100" ht="58" customHeight="1">
      <c r="A100" s="9" t="inlineStr">
        <is>
          <t>M11</t>
        </is>
      </c>
      <c r="B100" s="9" t="n">
        <v>4</v>
      </c>
      <c r="C100" s="9" t="inlineStr">
        <is>
          <t>00:18–00:28</t>
        </is>
      </c>
      <c r="D100" s="14" t="inlineStr">
        <is>
          <t>Solusi</t>
        </is>
      </c>
      <c r="E100" s="5" t="inlineStr">
        <is>
          <t>Detail insiden &amp; 5 fase</t>
        </is>
      </c>
      <c r="F100" s="5" t="inlineStr">
        <is>
          <t>motion/assets/app/breach-detail.png</t>
        </is>
      </c>
      <c r="G100" s="5" t="inlineStr">
        <is>
          <t>Siap pakai. Sorot label "Wajib Notifikasi" + stepper 5 fase</t>
        </is>
      </c>
      <c r="H100" s="5" t="inlineStr">
        <is>
          <t>Alur 5 fase langsung siap</t>
        </is>
      </c>
      <c r="I100" s="5" t="inlineStr">
        <is>
          <t>Di Nexus, begitu insiden dicatat, alurnya langsung siap: lima fase dari deteksi sampai ditutup.</t>
        </is>
      </c>
      <c r="J100" s="5" t="inlineStr">
        <is>
          <t>whoosh</t>
        </is>
      </c>
    </row>
    <row r="101" ht="58" customHeight="1">
      <c r="A101" s="9" t="inlineStr">
        <is>
          <t>M11</t>
        </is>
      </c>
      <c r="B101" s="9" t="n">
        <v>5</v>
      </c>
      <c r="C101" s="9" t="inlineStr">
        <is>
          <t>00:28–00:36</t>
        </is>
      </c>
      <c r="D101" s="14" t="inlineStr">
        <is>
          <t>Bukti</t>
        </is>
      </c>
      <c r="E101" s="5" t="inlineStr">
        <is>
          <t>Checklist fase 1</t>
        </is>
      </c>
      <c r="F101" s="5" t="inlineStr">
        <is>
          <t>motion/assets/app/breach-fase.png</t>
        </is>
      </c>
      <c r="G101" s="5" t="inlineStr">
        <is>
          <t>Siap pakai. Sorot checklist tercentang</t>
        </is>
      </c>
      <c r="H101" s="5" t="inlineStr">
        <is>
          <t>Checklist &amp; linimasa otomatis</t>
        </is>
      </c>
      <c r="I101" s="5" t="inlineStr">
        <is>
          <t>Daftar periksa penahanan dan linimasa dibuat otomatis.</t>
        </is>
      </c>
      <c r="J101" s="5" t="inlineStr">
        <is>
          <t>check</t>
        </is>
      </c>
    </row>
    <row r="102" ht="58" customHeight="1">
      <c r="A102" s="9" t="inlineStr">
        <is>
          <t>M11</t>
        </is>
      </c>
      <c r="B102" s="9" t="n">
        <v>6</v>
      </c>
      <c r="C102" s="9" t="inlineStr">
        <is>
          <t>00:36–00:44</t>
        </is>
      </c>
      <c r="D102" s="14" t="inlineStr">
        <is>
          <t>Bukti</t>
        </is>
      </c>
      <c r="E102" s="5" t="inlineStr">
        <is>
          <t>Tombol aksi insiden</t>
        </is>
      </c>
      <c r="F102" s="5" t="inlineStr">
        <is>
          <t>motion/assets/app/breach-aksi.png</t>
        </is>
      </c>
      <c r="G102" s="5" t="inlineStr">
        <is>
          <t>Siap pakai. Sorot Template Pemberitahuan, RACI Matrix, War Room</t>
        </is>
      </c>
      <c r="H102" s="5" t="inlineStr">
        <is>
          <t>Templat · RACI · War Room</t>
        </is>
      </c>
      <c r="I102" s="5" t="inlineStr">
        <is>
          <t>Templat pemberitahuan, pembagian peran RACI, sampai ruang koordinasi tim.</t>
        </is>
      </c>
      <c r="J102" s="5" t="inlineStr">
        <is>
          <t>pop</t>
        </is>
      </c>
    </row>
    <row r="103" ht="58" customHeight="1">
      <c r="A103" s="9" t="inlineStr">
        <is>
          <t>M11</t>
        </is>
      </c>
      <c r="B103" s="9" t="n">
        <v>7</v>
      </c>
      <c r="C103" s="9" t="inlineStr">
        <is>
          <t>00:44–00:52</t>
        </is>
      </c>
      <c r="D103" s="14" t="inlineStr">
        <is>
          <t>Bukti</t>
        </is>
      </c>
      <c r="E103" s="5" t="inlineStr">
        <is>
          <t>AI Incident Response Advisor</t>
        </is>
      </c>
      <c r="F103" s="5" t="inlineStr">
        <is>
          <t>motion/assets/app/breach-ai.png</t>
        </is>
      </c>
      <c r="G103" s="5" t="inlineStr">
        <is>
          <t>Siap pakai. Sorot tombol Generate</t>
        </is>
      </c>
      <c r="H103" s="5" t="inlineStr">
        <is>
          <t>Langkah penahanan dibantu AI</t>
        </is>
      </c>
      <c r="I103" s="5" t="inlineStr">
        <is>
          <t>Langkah penahanan pun bisa dibantu AI.</t>
        </is>
      </c>
      <c r="J103" s="5" t="inlineStr">
        <is>
          <t>shimmer</t>
        </is>
      </c>
    </row>
    <row r="104" ht="58" customHeight="1">
      <c r="A104" s="18" t="inlineStr">
        <is>
          <t>M11</t>
        </is>
      </c>
      <c r="B104" s="18" t="n">
        <v>8</v>
      </c>
      <c r="C104" s="18" t="inlineStr">
        <is>
          <t>00:52–01:00</t>
        </is>
      </c>
      <c r="D104" s="19" t="inlineStr">
        <is>
          <t>CTA</t>
        </is>
      </c>
      <c r="E104" s="20" t="inlineStr">
        <is>
          <t>Kamar gelap berubah terang, DPO kembali tidur 😴</t>
        </is>
      </c>
      <c r="F104" s="20" t="inlineStr">
        <is>
          <t>—</t>
        </is>
      </c>
      <c r="G104" s="20" t="inlineStr">
        <is>
          <t>—</t>
        </is>
      </c>
      <c r="H104" s="20" t="inlineStr">
        <is>
          <t>Insiden tak menunggu jam kerja.</t>
        </is>
      </c>
      <c r="I104" s="20" t="inlineStr">
        <is>
          <t>Insiden tidak menunggu jam kerja. Siapkan alurnya dari sekarang. Privasimu Nexus.</t>
        </is>
      </c>
      <c r="J104" s="20" t="inlineStr">
        <is>
          <t>sonic logo</t>
        </is>
      </c>
    </row>
    <row r="106" ht="36" customHeight="1">
      <c r="A106" s="25" t="inlineStr">
        <is>
          <t>M12 · Simulasi &amp; Fire Drill · "Latihan kebakaran ada. Latihan kebocoran data?" · 45 dtk · Hook (Logika dipatahkan): Kantor rutin latihan kebakaran. Latihan kebocoran data? …hening.</t>
        </is>
      </c>
    </row>
    <row r="107" ht="58" customHeight="1">
      <c r="A107" s="11" t="inlineStr">
        <is>
          <t>M12</t>
        </is>
      </c>
      <c r="B107" s="11" t="n">
        <v>1</v>
      </c>
      <c r="C107" s="11" t="inlineStr">
        <is>
          <t>00:00–00:04</t>
        </is>
      </c>
      <c r="D107" s="12" t="inlineStr">
        <is>
          <t>Hook</t>
        </is>
      </c>
      <c r="E107" s="13" t="inlineStr">
        <is>
          <t>Alarm kebakaran + orang berbaris; lalu teks kedua &amp; jangkrik</t>
        </is>
      </c>
      <c r="F107" s="13" t="inlineStr">
        <is>
          <t>—</t>
        </is>
      </c>
      <c r="G107" s="13" t="inlineStr">
        <is>
          <t>—</t>
        </is>
      </c>
      <c r="H107" s="13" t="inlineStr">
        <is>
          <t>Latihan kebakaran ✅ · latihan kebocoran data 🦗</t>
        </is>
      </c>
      <c r="I107" s="13" t="inlineStr">
        <is>
          <t>Kantor rutin latihan kebakaran. Latihan kebocoran data? Hening.</t>
        </is>
      </c>
      <c r="J107" s="13" t="inlineStr">
        <is>
          <t>alarm + crickets</t>
        </is>
      </c>
    </row>
    <row r="108" ht="58" customHeight="1">
      <c r="A108" s="9" t="inlineStr">
        <is>
          <t>M12</t>
        </is>
      </c>
      <c r="B108" s="9" t="n">
        <v>2</v>
      </c>
      <c r="C108" s="9" t="inlineStr">
        <is>
          <t>00:04–00:12</t>
        </is>
      </c>
      <c r="D108" s="14" t="inlineStr">
        <is>
          <t>Masalah</t>
        </is>
      </c>
      <c r="E108" s="5" t="inlineStr">
        <is>
          <t>Tim kebingungan saat insiden</t>
        </is>
      </c>
      <c r="F108" s="5" t="inlineStr">
        <is>
          <t>—</t>
        </is>
      </c>
      <c r="G108" s="5" t="inlineStr">
        <is>
          <t>—</t>
        </is>
      </c>
      <c r="H108" s="5" t="inlineStr">
        <is>
          <t>Tak pernah latihan = belajar saat insiden</t>
        </is>
      </c>
      <c r="I108" s="5" t="inlineStr">
        <is>
          <t>Tim yang tidak pernah latihan, belajarnya saat insiden sungguhan.</t>
        </is>
      </c>
      <c r="J108" s="5" t="inlineStr">
        <is>
          <t>dundun</t>
        </is>
      </c>
    </row>
    <row r="109" ht="58" customHeight="1">
      <c r="A109" s="9" t="inlineStr">
        <is>
          <t>M12</t>
        </is>
      </c>
      <c r="B109" s="9" t="n">
        <v>3</v>
      </c>
      <c r="C109" s="9" t="inlineStr">
        <is>
          <t>00:12–00:24</t>
        </is>
      </c>
      <c r="D109" s="14" t="inlineStr">
        <is>
          <t>Solusi</t>
        </is>
      </c>
      <c r="E109" s="5" t="inlineStr">
        <is>
          <t>Banner Fire Drill + daftar skenario</t>
        </is>
      </c>
      <c r="F109" s="5" t="inlineStr">
        <is>
          <t>dataroom/03-tenant/simulation/02-recheck.png</t>
        </is>
      </c>
      <c r="G109" s="5" t="inlineStr">
        <is>
          <t>Crop [262,40,1002,640]. BUANG kartu "Rata-rata skor" (angka tidak valid). BLUR kolom User. Blur blok user sidebar [0,470,262,140] atau crop mulai x=262</t>
        </is>
      </c>
      <c r="H109" s="5" t="inlineStr">
        <is>
          <t>Kuis · tabletop · walkthrough</t>
        </is>
      </c>
      <c r="I109" s="5" t="inlineStr">
        <is>
          <t>Fire Drill melatih tim lewat skenario: kuis, tabletop, dan walkthrough.</t>
        </is>
      </c>
      <c r="J109" s="5" t="inlineStr">
        <is>
          <t>whoosh</t>
        </is>
      </c>
    </row>
    <row r="110" ht="58" customHeight="1">
      <c r="A110" s="9" t="inlineStr">
        <is>
          <t>M12</t>
        </is>
      </c>
      <c r="B110" s="9" t="n">
        <v>4</v>
      </c>
      <c r="C110" s="9" t="inlineStr">
        <is>
          <t>00:24–00:34</t>
        </is>
      </c>
      <c r="D110" s="14" t="inlineStr">
        <is>
          <t>Bukti</t>
        </is>
      </c>
      <c r="E110" s="5" t="inlineStr">
        <is>
          <t>Kolom skor &amp; rating</t>
        </is>
      </c>
      <c r="F110" s="5" t="inlineStr">
        <is>
          <t>dataroom/03-tenant/simulation/02-recheck.png</t>
        </is>
      </c>
      <c r="G110" s="5" t="inlineStr">
        <is>
          <t>Sorot kolom Skor &amp; Rating ("Poor", "Needs improvement")</t>
        </is>
      </c>
      <c r="H110" s="5" t="inlineStr">
        <is>
          <t>Dinilai dengan rubrik</t>
        </is>
      </c>
      <c r="I110" s="5" t="inlineStr">
        <is>
          <t>Hasilnya dinilai dengan rubrik, jadi kelihatan bagian mana yang perlu dilatih lagi.</t>
        </is>
      </c>
      <c r="J110" s="5" t="inlineStr">
        <is>
          <t>pop</t>
        </is>
      </c>
    </row>
    <row r="111" ht="58" customHeight="1">
      <c r="A111" s="9" t="inlineStr">
        <is>
          <t>M12</t>
        </is>
      </c>
      <c r="B111" s="9" t="n">
        <v>5</v>
      </c>
      <c r="C111" s="9" t="inlineStr">
        <is>
          <t>00:34–00:40</t>
        </is>
      </c>
      <c r="D111" s="14" t="inlineStr">
        <is>
          <t>Bukti</t>
        </is>
      </c>
      <c r="E111" s="5" t="inlineStr">
        <is>
          <t>Ikon AI menyusun skenario</t>
        </is>
      </c>
      <c r="F111" s="5" t="inlineStr">
        <is>
          <t>—</t>
        </is>
      </c>
      <c r="G111" s="5" t="inlineStr">
        <is>
          <t>—</t>
        </is>
      </c>
      <c r="H111" s="5" t="inlineStr">
        <is>
          <t>Skenario kustom dibantu AI</t>
        </is>
      </c>
      <c r="I111" s="5" t="inlineStr">
        <is>
          <t>Skenario sesuai bisnismu bisa disusun dengan bantuan AI.</t>
        </is>
      </c>
      <c r="J111" s="5" t="inlineStr">
        <is>
          <t>shimmer</t>
        </is>
      </c>
    </row>
    <row r="112" ht="58" customHeight="1">
      <c r="A112" s="18" t="inlineStr">
        <is>
          <t>M12</t>
        </is>
      </c>
      <c r="B112" s="18" t="n">
        <v>6</v>
      </c>
      <c r="C112" s="18" t="inlineStr">
        <is>
          <t>00:40–00:45</t>
        </is>
      </c>
      <c r="D112" s="19" t="inlineStr">
        <is>
          <t>CTA</t>
        </is>
      </c>
      <c r="E112" s="20" t="inlineStr">
        <is>
          <t>Logo</t>
        </is>
      </c>
      <c r="F112" s="20" t="inlineStr">
        <is>
          <t>—</t>
        </is>
      </c>
      <c r="G112" s="20" t="inlineStr">
        <is>
          <t>—</t>
        </is>
      </c>
      <c r="H112" s="20" t="inlineStr">
        <is>
          <t>Latih sekarang, tenang nanti.</t>
        </is>
      </c>
      <c r="I112" s="20" t="inlineStr">
        <is>
          <t>Latih sekarang, tenang nanti. Privasimu Nexus.</t>
        </is>
      </c>
      <c r="J112" s="20" t="inlineStr">
        <is>
          <t>sonic logo</t>
        </is>
      </c>
    </row>
    <row r="114" ht="36" customHeight="1">
      <c r="A114" s="25" t="inlineStr">
        <is>
          <t>M13 · Manajemen Risiko Pihak Ketiga (TPRM) · "Datamu aman. Data di pihak ketigamu?" · 60 dtk · Hook (Anomali): Kebocoran bisa lewat pintu yang bukan milikmu.</t>
        </is>
      </c>
    </row>
    <row r="115" ht="58" customHeight="1">
      <c r="A115" s="11" t="inlineStr">
        <is>
          <t>M13</t>
        </is>
      </c>
      <c r="B115" s="11" t="n">
        <v>1</v>
      </c>
      <c r="C115" s="11" t="inlineStr">
        <is>
          <t>00:00–00:04</t>
        </is>
      </c>
      <c r="D115" s="12" t="inlineStr">
        <is>
          <t>Hook</t>
        </is>
      </c>
      <c r="E115" s="13" t="inlineStr">
        <is>
          <t>Rumah terkunci rapat, jendela tetangga terbuka</t>
        </is>
      </c>
      <c r="F115" s="13" t="inlineStr">
        <is>
          <t>—</t>
        </is>
      </c>
      <c r="G115" s="13" t="inlineStr">
        <is>
          <t>—</t>
        </is>
      </c>
      <c r="H115" s="13" t="inlineStr">
        <is>
          <t>Kebocoran bisa lewat pintu orang lain.</t>
        </is>
      </c>
      <c r="I115" s="13" t="inlineStr">
        <is>
          <t>Kebocoran bisa lewat pintu yang bukan milikmu.</t>
        </is>
      </c>
      <c r="J115" s="13" t="inlineStr">
        <is>
          <t>dundun</t>
        </is>
      </c>
    </row>
    <row r="116" ht="58" customHeight="1">
      <c r="A116" s="9" t="inlineStr">
        <is>
          <t>M13</t>
        </is>
      </c>
      <c r="B116" s="9" t="n">
        <v>2</v>
      </c>
      <c r="C116" s="9" t="inlineStr">
        <is>
          <t>00:04–00:10</t>
        </is>
      </c>
      <c r="D116" s="14" t="inlineStr">
        <is>
          <t>Masalah</t>
        </is>
      </c>
      <c r="E116" s="5" t="inlineStr">
        <is>
          <t>Ikon mitra, penyedia layanan, kontraktor</t>
        </is>
      </c>
      <c r="F116" s="5" t="inlineStr">
        <is>
          <t>—</t>
        </is>
      </c>
      <c r="G116" s="5" t="inlineStr">
        <is>
          <t>—</t>
        </is>
      </c>
      <c r="H116" s="5" t="inlineStr">
        <is>
          <t>Pihak ketiga ikut memproses data</t>
        </is>
      </c>
      <c r="I116" s="5" t="inlineStr">
        <is>
          <t>Penyedia layanan, mitra, kontraktor: mereka ikut memproses data pelangganmu.</t>
        </is>
      </c>
      <c r="J116" s="5" t="inlineStr">
        <is>
          <t>pop ×3</t>
        </is>
      </c>
    </row>
    <row r="117" ht="58" customHeight="1">
      <c r="A117" s="9" t="inlineStr">
        <is>
          <t>M13</t>
        </is>
      </c>
      <c r="B117" s="9" t="n">
        <v>3</v>
      </c>
      <c r="C117" s="9" t="inlineStr">
        <is>
          <t>00:10–00:20</t>
        </is>
      </c>
      <c r="D117" s="14" t="inlineStr">
        <is>
          <t>Solusi</t>
        </is>
      </c>
      <c r="E117" s="5" t="inlineStr">
        <is>
          <t>Ringkasan pihak ketiga</t>
        </is>
      </c>
      <c r="F117" s="5" t="inlineStr">
        <is>
          <t>dataroom/03-tenant/vendor-risk/01-overview.png</t>
        </is>
      </c>
      <c r="G117" s="5" t="inlineStr">
        <is>
          <t>Crop [262,40,1002,700]. BLUR kolom Penanggung Jawab. Blur blok user sidebar [0,470,262,140] atau crop mulai x=262. Sorot KPI 15 aktif · 2 kritis</t>
        </is>
      </c>
      <c r="H117" s="5" t="inlineStr">
        <is>
          <t>Semua pihak ketiga terpetakan</t>
        </is>
      </c>
      <c r="I117" s="5" t="inlineStr">
        <is>
          <t>Manajemen Risiko Pihak Ketiga memetakan semua pihak ketiga dan tingkat risikonya.</t>
        </is>
      </c>
      <c r="J117" s="5" t="inlineStr">
        <is>
          <t>whoosh</t>
        </is>
      </c>
    </row>
    <row r="118" ht="58" customHeight="1">
      <c r="A118" s="9" t="inlineStr">
        <is>
          <t>M13</t>
        </is>
      </c>
      <c r="B118" s="9" t="n">
        <v>4</v>
      </c>
      <c r="C118" s="9" t="inlineStr">
        <is>
          <t>00:20–00:28</t>
        </is>
      </c>
      <c r="D118" s="14" t="inlineStr">
        <is>
          <t>Bukti</t>
        </is>
      </c>
      <c r="E118" s="5" t="inlineStr">
        <is>
          <t>Modal kirim pra-asesmen</t>
        </is>
      </c>
      <c r="F118" s="5" t="inlineStr">
        <is>
          <t>dataroom/03-tenant/vendor-risk/08-mulai-asesmen-modal.png</t>
        </is>
      </c>
      <c r="G118" s="5" t="inlineStr">
        <is>
          <t>Crop modal [470,40,760,520]. Sorot "Kirim Pra-Asesmen" &amp; "Tautan Asesmen Publik"</t>
        </is>
      </c>
      <c r="H118" s="5" t="inlineStr">
        <is>
          <t>Kuesioner lewat tautan, tanpa akun</t>
        </is>
      </c>
      <c r="I118" s="5" t="inlineStr">
        <is>
          <t>Kirim kuesioner lewat tautan publik, tanpa perlu akun.</t>
        </is>
      </c>
      <c r="J118" s="5" t="inlineStr">
        <is>
          <t>pop</t>
        </is>
      </c>
    </row>
    <row r="119" ht="58" customHeight="1">
      <c r="A119" s="9" t="inlineStr">
        <is>
          <t>M13</t>
        </is>
      </c>
      <c r="B119" s="9" t="n">
        <v>5</v>
      </c>
      <c r="C119" s="9" t="inlineStr">
        <is>
          <t>00:28–00:36</t>
        </is>
      </c>
      <c r="D119" s="14" t="inlineStr">
        <is>
          <t>Bukti</t>
        </is>
      </c>
      <c r="E119" s="5" t="inlineStr">
        <is>
          <t>Bank pertanyaan</t>
        </is>
      </c>
      <c r="F119" s="5" t="inlineStr">
        <is>
          <t>dataroom/03-tenant/vendor-risk/02-bank-pertanyaan.png</t>
        </is>
      </c>
      <c r="G119" s="5" t="inlineStr">
        <is>
          <t>Crop [262,40,1002,560]. Blur blok user sidebar [0,470,262,140] atau crop mulai x=262. Sorot template "Kepatuhan PDP UU 27/2022 — Pihak Ketiga"</t>
        </is>
      </c>
      <c r="H119" s="5" t="inlineStr">
        <is>
          <t>Bank pertanyaan siap pakai</t>
        </is>
      </c>
      <c r="I119" s="5" t="inlineStr">
        <is>
          <t>Pakai bank pertanyaan kepatuhan PDP yang siap pakai.</t>
        </is>
      </c>
      <c r="J119" s="5" t="inlineStr">
        <is>
          <t>ding</t>
        </is>
      </c>
    </row>
    <row r="120" ht="58" customHeight="1">
      <c r="A120" s="9" t="inlineStr">
        <is>
          <t>M13</t>
        </is>
      </c>
      <c r="B120" s="9" t="n">
        <v>6</v>
      </c>
      <c r="C120" s="9" t="inlineStr">
        <is>
          <t>00:36–00:46</t>
        </is>
      </c>
      <c r="D120" s="14" t="inlineStr">
        <is>
          <t>Bukti</t>
        </is>
      </c>
      <c r="E120" s="5" t="inlineStr">
        <is>
          <t>Detail pihak ketiga + skor AI</t>
        </is>
      </c>
      <c r="F120" s="5" t="inlineStr">
        <is>
          <t>dataroom/03-tenant/vendor-risk/07-detail-pihakketiga.png</t>
        </is>
      </c>
      <c r="G120" s="5" t="inlineStr">
        <is>
          <t>Crop modal [470,40,760,560]. BLUR baris Website. Sorot skor 49 · High</t>
        </is>
      </c>
      <c r="H120" s="5" t="inlineStr">
        <is>
          <t>Skor risiko dari analisis AI</t>
        </is>
      </c>
      <c r="I120" s="5" t="inlineStr">
        <is>
          <t>Jawaban dan dokumen bukti dianalisis AI menjadi skor risiko.</t>
        </is>
      </c>
      <c r="J120" s="5" t="inlineStr">
        <is>
          <t>vineboom kecil</t>
        </is>
      </c>
    </row>
    <row r="121" ht="58" customHeight="1">
      <c r="A121" s="9" t="inlineStr">
        <is>
          <t>M13</t>
        </is>
      </c>
      <c r="B121" s="9" t="n">
        <v>7</v>
      </c>
      <c r="C121" s="9" t="inlineStr">
        <is>
          <t>00:46–00:54</t>
        </is>
      </c>
      <c r="D121" s="14" t="inlineStr">
        <is>
          <t>Bukti</t>
        </is>
      </c>
      <c r="E121" s="5" t="inlineStr">
        <is>
          <t>RoPA pihak ketiga</t>
        </is>
      </c>
      <c r="F121" s="5" t="inlineStr">
        <is>
          <t>frontend/tmp/audit4/vendor-risk__ropa-pihak-ketiga.png</t>
        </is>
      </c>
      <c r="G121" s="5" t="inlineStr">
        <is>
          <t>Crop [200,40,1240,300]. Blur nama org [300,22,200,26]; buang sidebar (x&lt;200)</t>
        </is>
      </c>
      <c r="H121" s="5" t="inlineStr">
        <is>
          <t>Terhubung ke RoPA &amp; kontrak</t>
        </is>
      </c>
      <c r="I121" s="5" t="inlineStr">
        <is>
          <t>Terhubung ke RoPA dan kontrak pihak ketiga.</t>
        </is>
      </c>
      <c r="J121" s="5" t="inlineStr">
        <is>
          <t>check</t>
        </is>
      </c>
    </row>
    <row r="122" ht="58" customHeight="1">
      <c r="A122" s="18" t="inlineStr">
        <is>
          <t>M13</t>
        </is>
      </c>
      <c r="B122" s="18" t="n">
        <v>8</v>
      </c>
      <c r="C122" s="18" t="inlineStr">
        <is>
          <t>00:54–01:00</t>
        </is>
      </c>
      <c r="D122" s="19" t="inlineStr">
        <is>
          <t>CTA</t>
        </is>
      </c>
      <c r="E122" s="20" t="inlineStr">
        <is>
          <t>Semua jendela tertutup rapi</t>
        </is>
      </c>
      <c r="F122" s="20" t="inlineStr">
        <is>
          <t>—</t>
        </is>
      </c>
      <c r="G122" s="20" t="inlineStr">
        <is>
          <t>—</t>
        </is>
      </c>
      <c r="H122" s="20" t="inlineStr">
        <is>
          <t>Jaga juga pintu orang lain.</t>
        </is>
      </c>
      <c r="I122" s="20" t="inlineStr">
        <is>
          <t>Jaga juga pintu yang bukan milikmu. Privasimu Nexus.</t>
        </is>
      </c>
      <c r="J122" s="20" t="inlineStr">
        <is>
          <t>sonic logo</t>
        </is>
      </c>
    </row>
    <row r="124" ht="36" customHeight="1">
      <c r="A124" s="25" t="inlineStr">
        <is>
          <t>M14 · Transfer Data Lintas Negara &amp; TIA · ""Di cloud" bukan jawaban lokasi" · 50 dtk · Hook (Logika dipatahkan): "Datanya di mana?" "Di cloud." "Cloud-nya di negara mana?" …</t>
        </is>
      </c>
    </row>
    <row r="125" ht="58" customHeight="1">
      <c r="A125" s="11" t="inlineStr">
        <is>
          <t>M14</t>
        </is>
      </c>
      <c r="B125" s="11" t="n">
        <v>1</v>
      </c>
      <c r="C125" s="11" t="inlineStr">
        <is>
          <t>00:00–00:04</t>
        </is>
      </c>
      <c r="D125" s="12" t="inlineStr">
        <is>
          <t>Hook</t>
        </is>
      </c>
      <c r="E125" s="13" t="inlineStr">
        <is>
          <t>Chat 3 balon, lalu jangkrik</t>
        </is>
      </c>
      <c r="F125" s="13" t="inlineStr">
        <is>
          <t>—</t>
        </is>
      </c>
      <c r="G125" s="13" t="inlineStr">
        <is>
          <t>—</t>
        </is>
      </c>
      <c r="H125" s="13" t="inlineStr">
        <is>
          <t>"Di cloud." "Cloud-nya di negara mana?"</t>
        </is>
      </c>
      <c r="I125" s="13" t="inlineStr">
        <is>
          <t>Data pelanggan disimpan di mana? Di cloud. Cloud-nya di negara mana?</t>
        </is>
      </c>
      <c r="J125" s="13" t="inlineStr">
        <is>
          <t>crickets</t>
        </is>
      </c>
    </row>
    <row r="126" ht="58" customHeight="1">
      <c r="A126" s="9" t="inlineStr">
        <is>
          <t>M14</t>
        </is>
      </c>
      <c r="B126" s="9" t="n">
        <v>2</v>
      </c>
      <c r="C126" s="9" t="inlineStr">
        <is>
          <t>00:04–00:12</t>
        </is>
      </c>
      <c r="D126" s="14" t="inlineStr">
        <is>
          <t>Fakta</t>
        </is>
      </c>
      <c r="E126" s="5" t="inlineStr">
        <is>
          <t>Peta dunia dengan panah data</t>
        </is>
      </c>
      <c r="F126" s="5" t="inlineStr">
        <is>
          <t>—</t>
        </is>
      </c>
      <c r="G126" s="5" t="inlineStr">
        <is>
          <t>—</t>
        </is>
      </c>
      <c r="H126" s="5" t="inlineStr">
        <is>
          <t>Transfer ke luar negeri wajib dinilai</t>
        </is>
      </c>
      <c r="I126" s="5" t="inlineStr">
        <is>
          <t>Transfer ke luar negeri wajib memastikan pelindungan di negara tujuan setara atau memadai.</t>
        </is>
      </c>
      <c r="J126" s="5" t="inlineStr">
        <is>
          <t>sweep</t>
        </is>
      </c>
    </row>
    <row r="127" ht="58" customHeight="1">
      <c r="A127" s="9" t="inlineStr">
        <is>
          <t>M14</t>
        </is>
      </c>
      <c r="B127" s="9" t="n">
        <v>3</v>
      </c>
      <c r="C127" s="9" t="inlineStr">
        <is>
          <t>00:12–00:24</t>
        </is>
      </c>
      <c r="D127" s="14" t="inlineStr">
        <is>
          <t>Solusi</t>
        </is>
      </c>
      <c r="E127" s="5" t="inlineStr">
        <is>
          <t>Register transfer lintas batas</t>
        </is>
      </c>
      <c r="F127" s="5" t="inlineStr">
        <is>
          <t>dataroom/03-tenant/cross-border/01-overview.png</t>
        </is>
      </c>
      <c r="G127" s="5" t="inlineStr">
        <is>
          <t>Crop [262,40,1002,640]. BLUR kolom Entitas Tujuan (ada merek penyedia cloud). Blur blok user sidebar [0,470,262,140] atau crop mulai x=262. Sorot peta negara tujuan + kolom TIA Score</t>
        </is>
      </c>
      <c r="H127" s="5" t="inlineStr">
        <is>
          <t>Setiap transfer terdaftar</t>
        </is>
      </c>
      <c r="I127" s="5" t="inlineStr">
        <is>
          <t>Di Nexus, setiap transfer lintas negara terdaftar: tujuan, negara, risiko, dan skor TIA-nya.</t>
        </is>
      </c>
      <c r="J127" s="5" t="inlineStr">
        <is>
          <t>whoosh</t>
        </is>
      </c>
    </row>
    <row r="128" ht="58" customHeight="1">
      <c r="A128" s="9" t="inlineStr">
        <is>
          <t>M14</t>
        </is>
      </c>
      <c r="B128" s="9" t="n">
        <v>4</v>
      </c>
      <c r="C128" s="9" t="inlineStr">
        <is>
          <t>00:24–00:36</t>
        </is>
      </c>
      <c r="D128" s="14" t="inlineStr">
        <is>
          <t>Bukti</t>
        </is>
      </c>
      <c r="E128" s="5" t="inlineStr">
        <is>
          <t>Daftar TIA</t>
        </is>
      </c>
      <c r="F128" s="5" t="inlineStr">
        <is>
          <t>dataroom/03-tenant/tia/01-overview.png</t>
        </is>
      </c>
      <c r="G128" s="5" t="inlineStr">
        <is>
          <t>Crop [262,40,1002,620]. Blur blok user sidebar [0,470,262,140] atau crop mulai x=262. Sorot negara tujuan &amp; status</t>
        </is>
      </c>
      <c r="H128" s="5" t="inlineStr">
        <is>
          <t>Transfer Impact Assessment</t>
        </is>
      </c>
      <c r="I128" s="5" t="inlineStr">
        <is>
          <t>Transfer Impact Assessment menilai dampaknya, lalu ditinjau dan disetujui.</t>
        </is>
      </c>
      <c r="J128" s="5" t="inlineStr">
        <is>
          <t>check</t>
        </is>
      </c>
    </row>
    <row r="129" ht="58" customHeight="1">
      <c r="A129" s="9" t="inlineStr">
        <is>
          <t>M14</t>
        </is>
      </c>
      <c r="B129" s="9" t="n">
        <v>5</v>
      </c>
      <c r="C129" s="9" t="inlineStr">
        <is>
          <t>00:36–00:44</t>
        </is>
      </c>
      <c r="D129" s="14" t="inlineStr">
        <is>
          <t>Bukti</t>
        </is>
      </c>
      <c r="E129" s="5" t="inlineStr">
        <is>
          <t>Ikon timbangan: setara / memadai</t>
        </is>
      </c>
      <c r="F129" s="5" t="inlineStr">
        <is>
          <t>—</t>
        </is>
      </c>
      <c r="G129" s="5" t="inlineStr">
        <is>
          <t>—</t>
        </is>
      </c>
      <c r="H129" s="5" t="inlineStr">
        <is>
          <t>Pemetaan setara / memadai</t>
        </is>
      </c>
      <c r="I129" s="5" t="inlineStr">
        <is>
          <t>Lengkap dengan pemetaan pelindungan yang setara atau memadai.</t>
        </is>
      </c>
      <c r="J129" s="5" t="inlineStr">
        <is>
          <t>ding</t>
        </is>
      </c>
    </row>
    <row r="130" ht="58" customHeight="1">
      <c r="A130" s="18" t="inlineStr">
        <is>
          <t>M14</t>
        </is>
      </c>
      <c r="B130" s="18" t="n">
        <v>6</v>
      </c>
      <c r="C130" s="18" t="inlineStr">
        <is>
          <t>00:44–00:50</t>
        </is>
      </c>
      <c r="D130" s="19" t="inlineStr">
        <is>
          <t>CTA</t>
        </is>
      </c>
      <c r="E130" s="20" t="inlineStr">
        <is>
          <t>Logo</t>
        </is>
      </c>
      <c r="F130" s="20" t="inlineStr">
        <is>
          <t>—</t>
        </is>
      </c>
      <c r="G130" s="20" t="inlineStr">
        <is>
          <t>—</t>
        </is>
      </c>
      <c r="H130" s="20" t="inlineStr">
        <is>
          <t>"Di cloud" bukan jawaban.</t>
        </is>
      </c>
      <c r="I130" s="20" t="inlineStr">
        <is>
          <t>Di cloud bukan jawaban. Privasimu Nexus.</t>
        </is>
      </c>
      <c r="J130" s="20" t="inlineStr">
        <is>
          <t>sonic logo</t>
        </is>
      </c>
    </row>
    <row r="132" ht="36" customHeight="1">
      <c r="A132" s="25" t="inlineStr">
        <is>
          <t>M15 · Data Discovery &amp; Mapping · "Yang paling berisiko: data yang tak kamu tahu ada" · 50 dtk · Hook (Logika dipatahkan): Data paling berisiko bukan yang paling sensitif… tapi yang tidak kamu tahu ada.</t>
        </is>
      </c>
    </row>
    <row r="133" ht="58" customHeight="1">
      <c r="A133" s="11" t="inlineStr">
        <is>
          <t>M15</t>
        </is>
      </c>
      <c r="B133" s="11" t="n">
        <v>1</v>
      </c>
      <c r="C133" s="11" t="inlineStr">
        <is>
          <t>00:00–00:04</t>
        </is>
      </c>
      <c r="D133" s="12" t="inlineStr">
        <is>
          <t>Hook</t>
        </is>
      </c>
      <c r="E133" s="13" t="inlineStr">
        <is>
          <t>Peta gudang dengan area "???"</t>
        </is>
      </c>
      <c r="F133" s="13" t="inlineStr">
        <is>
          <t>—</t>
        </is>
      </c>
      <c r="G133" s="13" t="inlineStr">
        <is>
          <t>—</t>
        </is>
      </c>
      <c r="H133" s="13" t="inlineStr">
        <is>
          <t>Data paling berisiko = yang tak tercatat</t>
        </is>
      </c>
      <c r="I133" s="13" t="inlineStr">
        <is>
          <t>Data paling berisiko bukan yang paling sensitif… tapi yang tidak kamu tahu ada.</t>
        </is>
      </c>
      <c r="J133" s="13" t="inlineStr">
        <is>
          <t>vineboom</t>
        </is>
      </c>
    </row>
    <row r="134" ht="58" customHeight="1">
      <c r="A134" s="9" t="inlineStr">
        <is>
          <t>M15</t>
        </is>
      </c>
      <c r="B134" s="9" t="n">
        <v>2</v>
      </c>
      <c r="C134" s="9" t="inlineStr">
        <is>
          <t>00:04–00:10</t>
        </is>
      </c>
      <c r="D134" s="14" t="inlineStr">
        <is>
          <t>Masalah</t>
        </is>
      </c>
      <c r="E134" s="5" t="inlineStr">
        <is>
          <t>Gelembung pikiran tim TI berisi nama server</t>
        </is>
      </c>
      <c r="F134" s="5" t="inlineStr">
        <is>
          <t>—</t>
        </is>
      </c>
      <c r="G134" s="5" t="inlineStr">
        <is>
          <t>—</t>
        </is>
      </c>
      <c r="H134" s="5" t="inlineStr">
        <is>
          <t>Lokasi data = ingatan tim TI</t>
        </is>
      </c>
      <c r="I134" s="5" t="inlineStr">
        <is>
          <t>Selama ini, lokasi data pribadi cuma ada di ingatan tim TI.</t>
        </is>
      </c>
      <c r="J134" s="5" t="inlineStr">
        <is>
          <t>tick</t>
        </is>
      </c>
    </row>
    <row r="135" ht="58" customHeight="1">
      <c r="A135" s="9" t="inlineStr">
        <is>
          <t>M15</t>
        </is>
      </c>
      <c r="B135" s="9" t="n">
        <v>3</v>
      </c>
      <c r="C135" s="9" t="inlineStr">
        <is>
          <t>00:10–00:22</t>
        </is>
      </c>
      <c r="D135" s="14" t="inlineStr">
        <is>
          <t>Solusi</t>
        </is>
      </c>
      <c r="E135" s="5" t="inlineStr">
        <is>
          <t>Katalog sistem &amp; hasil pindai</t>
        </is>
      </c>
      <c r="F135" s="5" t="inlineStr">
        <is>
          <t>dataroom/03-tenant/data-discovery/01-overview.png</t>
        </is>
      </c>
      <c r="G135" s="5" t="inlineStr">
        <is>
          <t>Crop [262,40,1260,620] (gambar selebar 1522). Blur blok user sidebar [0,470,262,140] atau crop mulai x=262. Sorot KPI "187 PII" + status scan</t>
        </is>
      </c>
      <c r="H135" s="5" t="inlineStr">
        <is>
          <t>Temukan &amp; klasifikasi otomatis</t>
        </is>
      </c>
      <c r="I135" s="5" t="inlineStr">
        <is>
          <t>Data Discovery memindai sumber data dan menandai kolom berisi data pribadi, umum maupun spesifik.</t>
        </is>
      </c>
      <c r="J135" s="5" t="inlineStr">
        <is>
          <t>sweep</t>
        </is>
      </c>
    </row>
    <row r="136" ht="58" customHeight="1">
      <c r="A136" s="9" t="inlineStr">
        <is>
          <t>M15</t>
        </is>
      </c>
      <c r="B136" s="9" t="n">
        <v>4</v>
      </c>
      <c r="C136" s="9" t="inlineStr">
        <is>
          <t>00:22–00:32</t>
        </is>
      </c>
      <c r="D136" s="14" t="inlineStr">
        <is>
          <t>Bukti</t>
        </is>
      </c>
      <c r="E136" s="5" t="inlineStr">
        <is>
          <t>Kolom PDP Alert &amp; PII per sistem</t>
        </is>
      </c>
      <c r="F136" s="5" t="inlineStr">
        <is>
          <t>dataroom/03-tenant/data-discovery/01-overview.png</t>
        </is>
      </c>
      <c r="G136" s="5" t="inlineStr">
        <is>
          <t>Sorot kolom PDP Alert/PII</t>
        </is>
      </c>
      <c r="H136" s="5" t="inlineStr">
        <is>
          <t>Setiap sistem, lengkap temuannya</t>
        </is>
      </c>
      <c r="I136" s="5" t="inlineStr">
        <is>
          <t>Setiap sistem masuk katalog, lengkap dengan temuan data pribadinya.</t>
        </is>
      </c>
      <c r="J136" s="5" t="inlineStr">
        <is>
          <t>pop</t>
        </is>
      </c>
    </row>
    <row r="137" ht="58" customHeight="1">
      <c r="A137" s="26" t="inlineStr">
        <is>
          <t>M15</t>
        </is>
      </c>
      <c r="B137" s="26" t="n">
        <v>5</v>
      </c>
      <c r="C137" s="26" t="inlineStr">
        <is>
          <t>00:32–00:40</t>
        </is>
      </c>
      <c r="D137" s="27" t="inlineStr">
        <is>
          <t>Bukti</t>
        </is>
      </c>
      <c r="E137" s="24" t="inlineStr">
        <is>
          <t>Hasil "Scan Pencarian Person"</t>
        </is>
      </c>
      <c r="F137" s="24" t="inlineStr">
        <is>
          <t>BELUM ADA: ambil screenshot hasil pencarian satu orang (data dummy)</t>
        </is>
      </c>
      <c r="G137" s="24" t="inlineStr">
        <is>
          <t>—</t>
        </is>
      </c>
      <c r="H137" s="24" t="inlineStr">
        <is>
          <t>Cari data milik satu orang</t>
        </is>
      </c>
      <c r="I137" s="24" t="inlineStr">
        <is>
          <t>Cari semua data milik satu orang, untuk menjawab permohonan hak subjek data.</t>
        </is>
      </c>
      <c r="J137" s="24" t="inlineStr">
        <is>
          <t>coin</t>
        </is>
      </c>
    </row>
    <row r="138" ht="58" customHeight="1">
      <c r="A138" s="9" t="inlineStr">
        <is>
          <t>M15</t>
        </is>
      </c>
      <c r="B138" s="9" t="n">
        <v>6</v>
      </c>
      <c r="C138" s="9" t="inlineStr">
        <is>
          <t>00:40–00:46</t>
        </is>
      </c>
      <c r="D138" s="14" t="inlineStr">
        <is>
          <t>Bukti</t>
        </is>
      </c>
      <c r="E138" s="5" t="inlineStr">
        <is>
          <t>Ikon rantai kolom → RoPA</t>
        </is>
      </c>
      <c r="F138" s="5" t="inlineStr">
        <is>
          <t>—</t>
        </is>
      </c>
      <c r="G138" s="5" t="inlineStr">
        <is>
          <t>—</t>
        </is>
      </c>
      <c r="H138" s="5" t="inlineStr">
        <is>
          <t>Tertaut ke RoPA</t>
        </is>
      </c>
      <c r="I138" s="5" t="inlineStr">
        <is>
          <t>Dan temuannya tertaut ke RoPA.</t>
        </is>
      </c>
      <c r="J138" s="5" t="inlineStr">
        <is>
          <t>check</t>
        </is>
      </c>
    </row>
    <row r="139" ht="58" customHeight="1">
      <c r="A139" s="18" t="inlineStr">
        <is>
          <t>M15</t>
        </is>
      </c>
      <c r="B139" s="18" t="n">
        <v>7</v>
      </c>
      <c r="C139" s="18" t="inlineStr">
        <is>
          <t>00:46–00:50</t>
        </is>
      </c>
      <c r="D139" s="19" t="inlineStr">
        <is>
          <t>CTA</t>
        </is>
      </c>
      <c r="E139" s="20" t="inlineStr">
        <is>
          <t>Logo</t>
        </is>
      </c>
      <c r="F139" s="20" t="inlineStr">
        <is>
          <t>—</t>
        </is>
      </c>
      <c r="G139" s="20" t="inlineStr">
        <is>
          <t>—</t>
        </is>
      </c>
      <c r="H139" s="20" t="inlineStr">
        <is>
          <t>Temukan sebelum ditemukan.</t>
        </is>
      </c>
      <c r="I139" s="20" t="inlineStr">
        <is>
          <t>Temukan datamu sebelum orang lain menemukannya. Privasimu Nexus.</t>
        </is>
      </c>
      <c r="J139" s="20" t="inlineStr">
        <is>
          <t>sonic logo</t>
        </is>
      </c>
    </row>
    <row r="141" ht="36" customHeight="1">
      <c r="A141" s="25" t="inlineStr">
        <is>
          <t>M16 · Telaah Kebijakan &amp; Policy Generator · "Kebijakanmu lebih tua dari UU PDP?" · 55 dtk · Hook (Anomali): Kebijakan privasi di situsmu mungkin lebih tua dari UU PDP.</t>
        </is>
      </c>
    </row>
    <row r="142" ht="58" customHeight="1">
      <c r="A142" s="11" t="inlineStr">
        <is>
          <t>M16</t>
        </is>
      </c>
      <c r="B142" s="11" t="n">
        <v>1</v>
      </c>
      <c r="C142" s="11" t="inlineStr">
        <is>
          <t>00:00–00:04</t>
        </is>
      </c>
      <c r="D142" s="12" t="inlineStr">
        <is>
          <t>Hook</t>
        </is>
      </c>
      <c r="E142" s="13" t="inlineStr">
        <is>
          <t>Dokumen berdebu bertanggal lama, debu ditiup</t>
        </is>
      </c>
      <c r="F142" s="13" t="inlineStr">
        <is>
          <t>—</t>
        </is>
      </c>
      <c r="G142" s="13" t="inlineStr">
        <is>
          <t>—</t>
        </is>
      </c>
      <c r="H142" s="13" t="inlineStr">
        <is>
          <t>Lebih tua dari UU PDP?</t>
        </is>
      </c>
      <c r="I142" s="13" t="inlineStr">
        <is>
          <t>Kebijakan privasi di situsmu mungkin lebih tua dari UU PDP.</t>
        </is>
      </c>
      <c r="J142" s="13" t="inlineStr">
        <is>
          <t>whoosh</t>
        </is>
      </c>
    </row>
    <row r="143" ht="58" customHeight="1">
      <c r="A143" s="9" t="inlineStr">
        <is>
          <t>M16</t>
        </is>
      </c>
      <c r="B143" s="9" t="n">
        <v>2</v>
      </c>
      <c r="C143" s="9" t="inlineStr">
        <is>
          <t>00:04–00:10</t>
        </is>
      </c>
      <c r="D143" s="14" t="inlineStr">
        <is>
          <t>Fakta</t>
        </is>
      </c>
      <c r="E143" s="5" t="inlineStr">
        <is>
          <t>Garis waktu: UU PDP 2022 · PP 33/2026</t>
        </is>
      </c>
      <c r="F143" s="5" t="inlineStr">
        <is>
          <t>—</t>
        </is>
      </c>
      <c r="G143" s="5" t="inlineStr">
        <is>
          <t>—</t>
        </is>
      </c>
      <c r="H143" s="5" t="inlineStr">
        <is>
          <t>UU PDP 2022 · PP 33/2026</t>
        </is>
      </c>
      <c r="I143" s="5" t="inlineStr">
        <is>
          <t>UU PDP lahir dua ribu dua puluh dua. PP tiga puluh tiga, dua ribu dua puluh enam. Kebijakanmu?</t>
        </is>
      </c>
      <c r="J143" s="5" t="inlineStr">
        <is>
          <t>flip</t>
        </is>
      </c>
    </row>
    <row r="144" ht="58" customHeight="1">
      <c r="A144" s="9" t="inlineStr">
        <is>
          <t>M16</t>
        </is>
      </c>
      <c r="B144" s="9" t="n">
        <v>3</v>
      </c>
      <c r="C144" s="9" t="inlineStr">
        <is>
          <t>00:10–00:20</t>
        </is>
      </c>
      <c r="D144" s="14" t="inlineStr">
        <is>
          <t>Solusi</t>
        </is>
      </c>
      <c r="E144" s="5" t="inlineStr">
        <is>
          <t>Daftar telaah kebijakan</t>
        </is>
      </c>
      <c r="F144" s="5" t="inlineStr">
        <is>
          <t>motion/assets/app/policy-review.png</t>
        </is>
      </c>
      <c r="G144" s="5" t="inlineStr">
        <is>
          <t>Siap pakai. Sorot ringkasan kesesuaian</t>
        </is>
      </c>
      <c r="H144" s="5" t="inlineStr">
        <is>
          <t>Telaah per bab</t>
        </is>
      </c>
      <c r="I144" s="5" t="inlineStr">
        <is>
          <t>Telaah Kebijakan menelaah kebijakan internal per bab terhadap UU PDP dan PP tiga puluh tiga.</t>
        </is>
      </c>
      <c r="J144" s="5" t="inlineStr">
        <is>
          <t>sweep</t>
        </is>
      </c>
    </row>
    <row r="145" ht="58" customHeight="1">
      <c r="A145" s="9" t="inlineStr">
        <is>
          <t>M16</t>
        </is>
      </c>
      <c r="B145" s="9" t="n">
        <v>4</v>
      </c>
      <c r="C145" s="9" t="inlineStr">
        <is>
          <t>00:20–00:32</t>
        </is>
      </c>
      <c r="D145" s="14" t="inlineStr">
        <is>
          <t>Bukti</t>
        </is>
      </c>
      <c r="E145" s="5" t="inlineStr">
        <is>
          <t>Hasil telaah + rekomendasi</t>
        </is>
      </c>
      <c r="F145" s="5" t="inlineStr">
        <is>
          <t>frontend/tmp/audit4/policy-review__60c9fc83-b09e-4399-ab4f-dbe083655bd7.png</t>
        </is>
      </c>
      <c r="G145" s="5" t="inlineStr">
        <is>
          <t>Crop [200,40,1240,700]. Blur nama org [300,22,200,26]; buang sidebar (x&lt;200). Sorot skor kesesuaian + temuan &amp; rekomendasi</t>
        </is>
      </c>
      <c r="H145" s="5" t="inlineStr">
        <is>
          <t>Temuan &amp; rekomendasi per bab</t>
        </is>
      </c>
      <c r="I145" s="5" t="inlineStr">
        <is>
          <t>Setiap bab dapat temuan dan rekomendasi, dan hasilnya bisa disunting konsultan.</t>
        </is>
      </c>
      <c r="J145" s="5" t="inlineStr">
        <is>
          <t>pop</t>
        </is>
      </c>
    </row>
    <row r="146" ht="58" customHeight="1">
      <c r="A146" s="9" t="inlineStr">
        <is>
          <t>M16</t>
        </is>
      </c>
      <c r="B146" s="9" t="n">
        <v>5</v>
      </c>
      <c r="C146" s="9" t="inlineStr">
        <is>
          <t>00:32–00:40</t>
        </is>
      </c>
      <c r="D146" s="14" t="inlineStr">
        <is>
          <t>Bukti</t>
        </is>
      </c>
      <c r="E146" s="5" t="inlineStr">
        <is>
          <t>Kerangka pembanding regulasi</t>
        </is>
      </c>
      <c r="F146" s="5" t="inlineStr">
        <is>
          <t>frontend/tmp/audit4/contract-review__kerangka.png</t>
        </is>
      </c>
      <c r="G146" s="5" t="inlineStr">
        <is>
          <t>Crop [200,40,1240,360]. Blur nama org [300,22,200,26]; buang sidebar (x&lt;200). Sorot kartu UU PDP (76 pasal) &amp; PP 33/2026 (225 pasal)</t>
        </is>
      </c>
      <c r="H146" s="5" t="inlineStr">
        <is>
          <t>Pasal dari knowledge base</t>
        </is>
      </c>
      <c r="I146" s="5" t="inlineStr">
        <is>
          <t>Bunyi pasal diambil dari knowledge base regulasi, bukan dikarang AI.</t>
        </is>
      </c>
      <c r="J146" s="5" t="inlineStr">
        <is>
          <t>ding</t>
        </is>
      </c>
    </row>
    <row r="147" ht="58" customHeight="1">
      <c r="A147" s="9" t="inlineStr">
        <is>
          <t>M16</t>
        </is>
      </c>
      <c r="B147" s="9" t="n">
        <v>6</v>
      </c>
      <c r="C147" s="9" t="inlineStr">
        <is>
          <t>00:40–00:50</t>
        </is>
      </c>
      <c r="D147" s="14" t="inlineStr">
        <is>
          <t>Bukti</t>
        </is>
      </c>
      <c r="E147" s="5" t="inlineStr">
        <is>
          <t>Wizard Policy Generator</t>
        </is>
      </c>
      <c r="F147" s="5" t="inlineStr">
        <is>
          <t>frontend/tmp/audit4/policy-generator__new.png</t>
        </is>
      </c>
      <c r="G147" s="5" t="inlineStr">
        <is>
          <t>Crop [560,100,800,700]. Blur nama org [300,22,200,26]; buang sidebar (x&lt;200). Sorot pilihan audiens &amp; bahasa</t>
        </is>
      </c>
      <c r="H147" s="5" t="inlineStr">
        <is>
          <t>Draf baru per audiens</t>
        </is>
      </c>
      <c r="I147" s="5" t="inlineStr">
        <is>
          <t>Belum punya kebijakan? Policy Generator membantu menyusun draf untuk tiap audiens.</t>
        </is>
      </c>
      <c r="J147" s="5" t="inlineStr">
        <is>
          <t>shimmer</t>
        </is>
      </c>
    </row>
    <row r="148" ht="58" customHeight="1">
      <c r="A148" s="18" t="inlineStr">
        <is>
          <t>M16</t>
        </is>
      </c>
      <c r="B148" s="18" t="n">
        <v>7</v>
      </c>
      <c r="C148" s="18" t="inlineStr">
        <is>
          <t>00:50–00:55</t>
        </is>
      </c>
      <c r="D148" s="19" t="inlineStr">
        <is>
          <t>CTA</t>
        </is>
      </c>
      <c r="E148" s="20" t="inlineStr">
        <is>
          <t>Logo</t>
        </is>
      </c>
      <c r="F148" s="20" t="inlineStr">
        <is>
          <t>—</t>
        </is>
      </c>
      <c r="G148" s="20" t="inlineStr">
        <is>
          <t>—</t>
        </is>
      </c>
      <c r="H148" s="20" t="inlineStr">
        <is>
          <t>Perbarui sebelum ditanya.</t>
        </is>
      </c>
      <c r="I148" s="20" t="inlineStr">
        <is>
          <t>Perbarui kebijakanmu sebelum ditanya. Privasimu Nexus.</t>
        </is>
      </c>
      <c r="J148" s="20" t="inlineStr">
        <is>
          <t>sonic logo</t>
        </is>
      </c>
    </row>
    <row r="150" ht="36" customHeight="1">
      <c r="A150" s="25" t="inlineStr">
        <is>
          <t>M17 · Telaah Kontrak &amp; Document Maker · "Kontrak diteken ≠ data aman" · 55 dtk · Hook (Logika dipatahkan): Kontrak sudah ditandatangani… bukan berarti datanya aman.</t>
        </is>
      </c>
    </row>
    <row r="151" ht="58" customHeight="1">
      <c r="A151" s="11" t="inlineStr">
        <is>
          <t>M17</t>
        </is>
      </c>
      <c r="B151" s="11" t="n">
        <v>1</v>
      </c>
      <c r="C151" s="11" t="inlineStr">
        <is>
          <t>00:00–00:04</t>
        </is>
      </c>
      <c r="D151" s="12" t="inlineStr">
        <is>
          <t>Hook</t>
        </is>
      </c>
      <c r="E151" s="13" t="inlineStr">
        <is>
          <t>Pena menandatangani kontrak, lalu stempel "?"</t>
        </is>
      </c>
      <c r="F151" s="13" t="inlineStr">
        <is>
          <t>—</t>
        </is>
      </c>
      <c r="G151" s="13" t="inlineStr">
        <is>
          <t>—</t>
        </is>
      </c>
      <c r="H151" s="13" t="inlineStr">
        <is>
          <t>Diteken ≠ aman</t>
        </is>
      </c>
      <c r="I151" s="13" t="inlineStr">
        <is>
          <t>Kontrak sudah ditandatangani, bukan berarti datanya aman.</t>
        </is>
      </c>
      <c r="J151" s="13" t="inlineStr">
        <is>
          <t>stamp</t>
        </is>
      </c>
    </row>
    <row r="152" ht="58" customHeight="1">
      <c r="A152" s="9" t="inlineStr">
        <is>
          <t>M17</t>
        </is>
      </c>
      <c r="B152" s="9" t="n">
        <v>2</v>
      </c>
      <c r="C152" s="9" t="inlineStr">
        <is>
          <t>00:04–00:10</t>
        </is>
      </c>
      <c r="D152" s="14" t="inlineStr">
        <is>
          <t>Masalah</t>
        </is>
      </c>
      <c r="E152" s="5" t="inlineStr">
        <is>
          <t>Map "NDA" vs map "Perjanjian Pemrosesan Data"</t>
        </is>
      </c>
      <c r="F152" s="5" t="inlineStr">
        <is>
          <t>—</t>
        </is>
      </c>
      <c r="G152" s="5" t="inlineStr">
        <is>
          <t>—</t>
        </is>
      </c>
      <c r="H152" s="5" t="inlineStr">
        <is>
          <t>NDA ≠ perjanjian pemrosesan data</t>
        </is>
      </c>
      <c r="I152" s="5" t="inlineStr">
        <is>
          <t>NDA bukan perjanjian pemrosesan data.</t>
        </is>
      </c>
      <c r="J152" s="5" t="inlineStr">
        <is>
          <t>buzzer</t>
        </is>
      </c>
    </row>
    <row r="153" ht="58" customHeight="1">
      <c r="A153" s="9" t="inlineStr">
        <is>
          <t>M17</t>
        </is>
      </c>
      <c r="B153" s="9" t="n">
        <v>3</v>
      </c>
      <c r="C153" s="9" t="inlineStr">
        <is>
          <t>00:10–00:22</t>
        </is>
      </c>
      <c r="D153" s="14" t="inlineStr">
        <is>
          <t>Solusi</t>
        </is>
      </c>
      <c r="E153" s="5" t="inlineStr">
        <is>
          <t>Ringkasan portofolio kontrak</t>
        </is>
      </c>
      <c r="F153" s="5" t="inlineStr">
        <is>
          <t>frontend/tmp/audit4/contract-review.png</t>
        </is>
      </c>
      <c r="G153" s="5" t="inlineStr">
        <is>
          <t>Crop [200,40,1240,520]. Blur nama org [300,22,200,26]; buang sidebar (x&lt;200). Sorot kepatuhan rata-rata + "pasal yang sering belum dipenuhi"</t>
        </is>
      </c>
      <c r="H153" s="5" t="inlineStr">
        <is>
          <t>Telaah per bab</t>
        </is>
      </c>
      <c r="I153" s="5" t="inlineStr">
        <is>
          <t>Telaah Kontrak menelaah DPA, kontrak pihak ketiga, NDA, dan kontrak pelanggan per bab.</t>
        </is>
      </c>
      <c r="J153" s="5" t="inlineStr">
        <is>
          <t>sweep</t>
        </is>
      </c>
    </row>
    <row r="154" ht="58" customHeight="1">
      <c r="A154" s="9" t="inlineStr">
        <is>
          <t>M17</t>
        </is>
      </c>
      <c r="B154" s="9" t="n">
        <v>4</v>
      </c>
      <c r="C154" s="9" t="inlineStr">
        <is>
          <t>00:22–00:34</t>
        </is>
      </c>
      <c r="D154" s="14" t="inlineStr">
        <is>
          <t>Bukti</t>
        </is>
      </c>
      <c r="E154" s="5" t="inlineStr">
        <is>
          <t>Hasil telaah + rekomendasi klausul</t>
        </is>
      </c>
      <c r="F154" s="5" t="inlineStr">
        <is>
          <t>frontend/tmp/audit4/contract-review__fca95cc6-55c3-45b6-a3b8-c39d89683396.png</t>
        </is>
      </c>
      <c r="G154" s="5" t="inlineStr">
        <is>
          <t>Crop [200,40,1240,700]. Blur nama org [300,22,200,26]; buang sidebar (x&lt;200). Sorot rekomendasi</t>
        </is>
      </c>
      <c r="H154" s="5" t="inlineStr">
        <is>
          <t>Rekomendasi klausul</t>
        </is>
      </c>
      <c r="I154" s="5" t="inlineStr">
        <is>
          <t>Rujukan pasal diverifikasi ke knowledge base, lengkap dengan rekomendasi klausul.</t>
        </is>
      </c>
      <c r="J154" s="5" t="inlineStr">
        <is>
          <t>pop</t>
        </is>
      </c>
    </row>
    <row r="155" ht="58" customHeight="1">
      <c r="A155" s="9" t="inlineStr">
        <is>
          <t>M17</t>
        </is>
      </c>
      <c r="B155" s="9" t="n">
        <v>5</v>
      </c>
      <c r="C155" s="9" t="inlineStr">
        <is>
          <t>00:34–00:46</t>
        </is>
      </c>
      <c r="D155" s="14" t="inlineStr">
        <is>
          <t>Bukti</t>
        </is>
      </c>
      <c r="E155" s="5" t="inlineStr">
        <is>
          <t>Dokumen jadi (Document Maker)</t>
        </is>
      </c>
      <c r="F155" s="5" t="inlineStr">
        <is>
          <t>frontend/tmp/audit4/document-maker__9340d5be-074b-428a-bb7a-9bc61a2dce2e.png</t>
        </is>
      </c>
      <c r="G155" s="5" t="inlineStr">
        <is>
          <t>Crop [320,40,1000,900]. Blur nama org [300,22,200,26]; buang sidebar (x&lt;200) + blur nama org di kop dokumen. Sorot judul dokumen &amp; tombol PDF/DOCX</t>
        </is>
      </c>
      <c r="H155" s="5" t="inlineStr">
        <is>
          <t>Draf dokumen siap unduh</t>
        </is>
      </c>
      <c r="I155" s="5" t="inlineStr">
        <is>
          <t>Perlu dokumen baru? Document Maker menyusun draf yang rapi, siap diunduh PDF atau DOCX.</t>
        </is>
      </c>
      <c r="J155" s="5" t="inlineStr">
        <is>
          <t>shimmer</t>
        </is>
      </c>
    </row>
    <row r="156" ht="58" customHeight="1">
      <c r="A156" s="18" t="inlineStr">
        <is>
          <t>M17</t>
        </is>
      </c>
      <c r="B156" s="18" t="n">
        <v>6</v>
      </c>
      <c r="C156" s="18" t="inlineStr">
        <is>
          <t>00:46–00:55</t>
        </is>
      </c>
      <c r="D156" s="19" t="inlineStr">
        <is>
          <t>CTA</t>
        </is>
      </c>
      <c r="E156" s="20" t="inlineStr">
        <is>
          <t>Logo</t>
        </is>
      </c>
      <c r="F156" s="20" t="inlineStr">
        <is>
          <t>—</t>
        </is>
      </c>
      <c r="G156" s="20" t="inlineStr">
        <is>
          <t>—</t>
        </is>
      </c>
      <c r="H156" s="20" t="inlineStr">
        <is>
          <t>Baca kontrak dengan kacamata PDP.</t>
        </is>
      </c>
      <c r="I156" s="20" t="inlineStr">
        <is>
          <t>Baca kontrakmu dengan kacamata PDP. Privasimu Nexus.</t>
        </is>
      </c>
      <c r="J156" s="20" t="inlineStr">
        <is>
          <t>sonic logo</t>
        </is>
      </c>
    </row>
    <row r="158" ht="36" customHeight="1">
      <c r="A158" s="25" t="inlineStr">
        <is>
          <t>M18 · Document Import (AI) · "Jangan ketik ulang 200 dokumen" · 40 dtk · Hook (Reverse psychology): Silakan ketik ulang 200 dokumen RoPA-mu satu per satu… atau jangan.</t>
        </is>
      </c>
    </row>
    <row r="159" ht="58" customHeight="1">
      <c r="A159" s="11" t="inlineStr">
        <is>
          <t>M18</t>
        </is>
      </c>
      <c r="B159" s="11" t="n">
        <v>1</v>
      </c>
      <c r="C159" s="11" t="inlineStr">
        <is>
          <t>00:00–00:04</t>
        </is>
      </c>
      <c r="D159" s="12" t="inlineStr">
        <is>
          <t>Hook</t>
        </is>
      </c>
      <c r="E159" s="13" t="inlineStr">
        <is>
          <t>Suara ketikan tanpa henti, jam berputar cepat</t>
        </is>
      </c>
      <c r="F159" s="13" t="inlineStr">
        <is>
          <t>—</t>
        </is>
      </c>
      <c r="G159" s="13" t="inlineStr">
        <is>
          <t>—</t>
        </is>
      </c>
      <c r="H159" s="13" t="inlineStr">
        <is>
          <t>Ketik ulang 200 dokumen?</t>
        </is>
      </c>
      <c r="I159" s="13" t="inlineStr">
        <is>
          <t>Silakan ketik ulang dua ratus dokumen RoPA-mu satu per satu…</t>
        </is>
      </c>
      <c r="J159" s="13" t="inlineStr">
        <is>
          <t>key ×n</t>
        </is>
      </c>
    </row>
    <row r="160" ht="58" customHeight="1">
      <c r="A160" s="11" t="inlineStr">
        <is>
          <t>M18</t>
        </is>
      </c>
      <c r="B160" s="11" t="n">
        <v>2</v>
      </c>
      <c r="C160" s="11" t="inlineStr">
        <is>
          <t>00:04–00:08</t>
        </is>
      </c>
      <c r="D160" s="12" t="inlineStr">
        <is>
          <t>Twist</t>
        </is>
      </c>
      <c r="E160" s="13" t="inlineStr">
        <is>
          <t>Ketikan berhenti mendadak</t>
        </is>
      </c>
      <c r="F160" s="13" t="inlineStr">
        <is>
          <t>—</t>
        </is>
      </c>
      <c r="G160" s="13" t="inlineStr">
        <is>
          <t>—</t>
        </is>
      </c>
      <c r="H160" s="13" t="inlineStr">
        <is>
          <t>…atau jangan.</t>
        </is>
      </c>
      <c r="I160" s="13" t="inlineStr">
        <is>
          <t>…atau jangan.</t>
        </is>
      </c>
      <c r="J160" s="13" t="inlineStr">
        <is>
          <t>record scratch</t>
        </is>
      </c>
    </row>
    <row r="161" ht="58" customHeight="1">
      <c r="A161" s="9" t="inlineStr">
        <is>
          <t>M18</t>
        </is>
      </c>
      <c r="B161" s="9" t="n">
        <v>3</v>
      </c>
      <c r="C161" s="9" t="inlineStr">
        <is>
          <t>00:08–00:22</t>
        </is>
      </c>
      <c r="D161" s="14" t="inlineStr">
        <is>
          <t>Solusi</t>
        </is>
      </c>
      <c r="E161" s="5" t="inlineStr">
        <is>
          <t>Halaman Document Intelligence</t>
        </is>
      </c>
      <c r="F161" s="5" t="inlineStr">
        <is>
          <t>dataroom/03-tenant/document-import/01-overview.png</t>
        </is>
      </c>
      <c r="G161" s="5" t="inlineStr">
        <is>
          <t>Crop [262,40,1002,420]. Blur blok user sidebar [0,470,262,140] atau crop mulai x=262. Sorot subjudul &amp; area unggah</t>
        </is>
      </c>
      <c r="H161" s="5" t="inlineStr">
        <is>
          <t>Unggah → AI baca → masuk database</t>
        </is>
      </c>
      <c r="I161" s="5" t="inlineStr">
        <is>
          <t>Document Import membaca dokumen RoPA dan DPIA-mu dengan AI, lalu memetakannya otomatis ke database.</t>
        </is>
      </c>
      <c r="J161" s="5" t="inlineStr">
        <is>
          <t>whoosh</t>
        </is>
      </c>
    </row>
    <row r="162" ht="58" customHeight="1">
      <c r="A162" s="9" t="inlineStr">
        <is>
          <t>M18</t>
        </is>
      </c>
      <c r="B162" s="9" t="n">
        <v>4</v>
      </c>
      <c r="C162" s="9" t="inlineStr">
        <is>
          <t>00:22–00:32</t>
        </is>
      </c>
      <c r="D162" s="14" t="inlineStr">
        <is>
          <t>Bukti</t>
        </is>
      </c>
      <c r="E162" s="5" t="inlineStr">
        <is>
          <t>Ikon format file</t>
        </is>
      </c>
      <c r="F162" s="5" t="inlineStr">
        <is>
          <t>—</t>
        </is>
      </c>
      <c r="G162" s="5" t="inlineStr">
        <is>
          <t>—</t>
        </is>
      </c>
      <c r="H162" s="5" t="inlineStr">
        <is>
          <t>docx · xlsx · csv · pdf · banyak file sekaligus</t>
        </is>
      </c>
      <c r="I162" s="5" t="inlineStr">
        <is>
          <t>Word, Excel, CSV, PDF, banyak file sekaligus.</t>
        </is>
      </c>
      <c r="J162" s="5" t="inlineStr">
        <is>
          <t>pop ×4</t>
        </is>
      </c>
    </row>
    <row r="163" ht="58" customHeight="1">
      <c r="A163" s="18" t="inlineStr">
        <is>
          <t>M18</t>
        </is>
      </c>
      <c r="B163" s="18" t="n">
        <v>5</v>
      </c>
      <c r="C163" s="18" t="inlineStr">
        <is>
          <t>00:32–00:40</t>
        </is>
      </c>
      <c r="D163" s="19" t="inlineStr">
        <is>
          <t>CTA</t>
        </is>
      </c>
      <c r="E163" s="20" t="inlineStr">
        <is>
          <t>Logo</t>
        </is>
      </c>
      <c r="F163" s="20" t="inlineStr">
        <is>
          <t>—</t>
        </is>
      </c>
      <c r="G163" s="20" t="inlineStr">
        <is>
          <t>—</t>
        </is>
      </c>
      <c r="H163" s="20" t="inlineStr">
        <is>
          <t>Pindah tanpa mulai dari nol.</t>
        </is>
      </c>
      <c r="I163" s="20" t="inlineStr">
        <is>
          <t>Pindah ke Nexus tanpa mulai dari nol.</t>
        </is>
      </c>
      <c r="J163" s="20" t="inlineStr">
        <is>
          <t>sonic logo</t>
        </is>
      </c>
    </row>
    <row r="165" ht="36" customHeight="1">
      <c r="A165" s="25" t="inlineStr">
        <is>
          <t>M19 · Priva: Asisten AI DPO &amp; Knowledge Base · "AI yang tidak mengarang pasal" · 50 dtk · Hook (Logika dipatahkan): AI paling berguna untuk DPO bukan yang paling kreatif… tapi yang tidak mengarang pasal.</t>
        </is>
      </c>
    </row>
    <row r="166" ht="58" customHeight="1">
      <c r="A166" s="11" t="inlineStr">
        <is>
          <t>M19</t>
        </is>
      </c>
      <c r="B166" s="11" t="n">
        <v>1</v>
      </c>
      <c r="C166" s="11" t="inlineStr">
        <is>
          <t>00:00–00:04</t>
        </is>
      </c>
      <c r="D166" s="12" t="inlineStr">
        <is>
          <t>Hook</t>
        </is>
      </c>
      <c r="E166" s="13" t="inlineStr">
        <is>
          <t>Teks "kreatif" dicoret, diganti "akurat"</t>
        </is>
      </c>
      <c r="F166" s="13" t="inlineStr">
        <is>
          <t>—</t>
        </is>
      </c>
      <c r="G166" s="13" t="inlineStr">
        <is>
          <t>—</t>
        </is>
      </c>
      <c r="H166" s="13" t="inlineStr">
        <is>
          <t>Bukan paling kreatif. Paling akurat.</t>
        </is>
      </c>
      <c r="I166" s="13" t="inlineStr">
        <is>
          <t>AI paling berguna untuk DPO bukan yang paling kreatif…</t>
        </is>
      </c>
      <c r="J166" s="13" t="inlineStr">
        <is>
          <t>record scratch</t>
        </is>
      </c>
    </row>
    <row r="167" ht="58" customHeight="1">
      <c r="A167" s="9" t="inlineStr">
        <is>
          <t>M19</t>
        </is>
      </c>
      <c r="B167" s="9" t="n">
        <v>2</v>
      </c>
      <c r="C167" s="9" t="inlineStr">
        <is>
          <t>00:04–00:10</t>
        </is>
      </c>
      <c r="D167" s="14" t="inlineStr">
        <is>
          <t>Masalah</t>
        </is>
      </c>
      <c r="E167" s="5" t="inlineStr">
        <is>
          <t>Chat AI umum mengutip "Pasal 99 UU PDP" → ❌</t>
        </is>
      </c>
      <c r="F167" s="5" t="inlineStr">
        <is>
          <t>—</t>
        </is>
      </c>
      <c r="G167" s="5" t="inlineStr">
        <is>
          <t>—</t>
        </is>
      </c>
      <c r="H167" s="5" t="inlineStr">
        <is>
          <t>UU PDP hanya 76 pasal</t>
        </is>
      </c>
      <c r="I167" s="5" t="inlineStr">
        <is>
          <t>…tapi yang tidak mengarang pasal. UU PDP cuma punya tujuh puluh enam pasal.</t>
        </is>
      </c>
      <c r="J167" s="5" t="inlineStr">
        <is>
          <t>buzzer</t>
        </is>
      </c>
    </row>
    <row r="168" ht="58" customHeight="1">
      <c r="A168" s="9" t="inlineStr">
        <is>
          <t>M19</t>
        </is>
      </c>
      <c r="B168" s="9" t="n">
        <v>3</v>
      </c>
      <c r="C168" s="9" t="inlineStr">
        <is>
          <t>00:10–00:20</t>
        </is>
      </c>
      <c r="D168" s="14" t="inlineStr">
        <is>
          <t>Solusi</t>
        </is>
      </c>
      <c r="E168" s="5" t="inlineStr">
        <is>
          <t>Beranda Priva</t>
        </is>
      </c>
      <c r="F168" s="5" t="inlineStr">
        <is>
          <t>motion/assets/app/ai-agent-home.png</t>
        </is>
      </c>
      <c r="G168" s="5" t="inlineStr">
        <is>
          <t>Siap pakai. Sorot chip modul + saran pertanyaan</t>
        </is>
      </c>
      <c r="H168" s="5" t="inlineStr">
        <is>
          <t>Priva, asisten AI Nexus</t>
        </is>
      </c>
      <c r="I168" s="5" t="inlineStr">
        <is>
          <t>Priva, asisten AI di Nexus, menjawab berdasarkan knowledge base platform.</t>
        </is>
      </c>
      <c r="J168" s="5" t="inlineStr">
        <is>
          <t>shimmer</t>
        </is>
      </c>
    </row>
    <row r="169" ht="58" customHeight="1">
      <c r="A169" s="9" t="inlineStr">
        <is>
          <t>M19</t>
        </is>
      </c>
      <c r="B169" s="9" t="n">
        <v>4</v>
      </c>
      <c r="C169" s="9" t="inlineStr">
        <is>
          <t>00:20–00:30</t>
        </is>
      </c>
      <c r="D169" s="14" t="inlineStr">
        <is>
          <t>Bukti</t>
        </is>
      </c>
      <c r="E169" s="5" t="inlineStr">
        <is>
          <t>Jawaban Priva</t>
        </is>
      </c>
      <c r="F169" s="5" t="inlineStr">
        <is>
          <t>motion/assets/app/ai-agent-chat.png</t>
        </is>
      </c>
      <c r="G169" s="5" t="inlineStr">
        <is>
          <t>Siap pakai. Sorot jawaban rekomendasi RoPA/DPIA</t>
        </is>
      </c>
      <c r="H169" s="5" t="inlineStr">
        <is>
          <t>Jawaban terhubung ke modul</t>
        </is>
      </c>
      <c r="I169" s="5" t="inlineStr">
        <is>
          <t>Tanya soal RoPA, DPIA, atau langkah berikutnya, dan jawabannya terhubung ke modul.</t>
        </is>
      </c>
      <c r="J169" s="5" t="inlineStr">
        <is>
          <t>pop</t>
        </is>
      </c>
    </row>
    <row r="170" ht="58" customHeight="1">
      <c r="A170" s="9" t="inlineStr">
        <is>
          <t>M19</t>
        </is>
      </c>
      <c r="B170" s="9" t="n">
        <v>5</v>
      </c>
      <c r="C170" s="9" t="inlineStr">
        <is>
          <t>00:30–00:40</t>
        </is>
      </c>
      <c r="D170" s="14" t="inlineStr">
        <is>
          <t>Bukti</t>
        </is>
      </c>
      <c r="E170" s="5" t="inlineStr">
        <is>
          <t>Daftar knowledge base</t>
        </is>
      </c>
      <c r="F170" s="5" t="inlineStr">
        <is>
          <t>frontend/tmp/audit4/knowledge-base.png</t>
        </is>
      </c>
      <c r="G170" s="5" t="inlineStr">
        <is>
          <t>Crop [200,40,1240,700]. Blur nama org [300,22,200,26]; buang sidebar (x&lt;200). Sorot tombol "Tambah KB Tenant"</t>
        </is>
      </c>
      <c r="H170" s="5" t="inlineStr">
        <is>
          <t>Tambah konteks organisasimu</t>
        </is>
      </c>
      <c r="I170" s="5" t="inlineStr">
        <is>
          <t>Knowledge base-nya bisa ditambah konteks khusus organisasimu.</t>
        </is>
      </c>
      <c r="J170" s="5" t="inlineStr">
        <is>
          <t>ding</t>
        </is>
      </c>
    </row>
    <row r="171" ht="58" customHeight="1">
      <c r="A171" s="9" t="inlineStr">
        <is>
          <t>M19</t>
        </is>
      </c>
      <c r="B171" s="9" t="n">
        <v>6</v>
      </c>
      <c r="C171" s="9" t="inlineStr">
        <is>
          <t>00:40–00:45</t>
        </is>
      </c>
      <c r="D171" s="14" t="inlineStr">
        <is>
          <t>Bukti</t>
        </is>
      </c>
      <c r="E171" s="5" t="inlineStr">
        <is>
          <t>Ikon log audit</t>
        </is>
      </c>
      <c r="F171" s="5" t="inlineStr">
        <is>
          <t>—</t>
        </is>
      </c>
      <c r="G171" s="5" t="inlineStr">
        <is>
          <t>—</t>
        </is>
      </c>
      <c r="H171" s="5" t="inlineStr">
        <is>
          <t>Aksi AI tercatat</t>
        </is>
      </c>
      <c r="I171" s="5" t="inlineStr">
        <is>
          <t>Dan setiap aksi AI tercatat di log audit.</t>
        </is>
      </c>
      <c r="J171" s="5" t="inlineStr">
        <is>
          <t>check</t>
        </is>
      </c>
    </row>
    <row r="172" ht="58" customHeight="1">
      <c r="A172" s="18" t="inlineStr">
        <is>
          <t>M19</t>
        </is>
      </c>
      <c r="B172" s="18" t="n">
        <v>7</v>
      </c>
      <c r="C172" s="18" t="inlineStr">
        <is>
          <t>00:45–00:50</t>
        </is>
      </c>
      <c r="D172" s="19" t="inlineStr">
        <is>
          <t>CTA</t>
        </is>
      </c>
      <c r="E172" s="20" t="inlineStr">
        <is>
          <t>Logo</t>
        </is>
      </c>
      <c r="F172" s="20" t="inlineStr">
        <is>
          <t>—</t>
        </is>
      </c>
      <c r="G172" s="20" t="inlineStr">
        <is>
          <t>—</t>
        </is>
      </c>
      <c r="H172" s="20" t="inlineStr">
        <is>
          <t>Asisten yang paham PDP.</t>
        </is>
      </c>
      <c r="I172" s="20" t="inlineStr">
        <is>
          <t>Asisten yang paham PDP. Privasimu Nexus.</t>
        </is>
      </c>
      <c r="J172" s="20" t="inlineStr">
        <is>
          <t>sonic logo</t>
        </is>
      </c>
    </row>
    <row r="174" ht="36" customHeight="1">
      <c r="A174" s="25" t="inlineStr">
        <is>
          <t>M20 · Dukungan PPDP &amp; Paparan Sanksi · "Siapa DPO di kantor ini?" · 50 dtk · Hook (Relate): "Siapa DPO di kantor ini?" Semua menunjuk… ke orang yang sedang cuti.</t>
        </is>
      </c>
    </row>
    <row r="175" ht="58" customHeight="1">
      <c r="A175" s="11" t="inlineStr">
        <is>
          <t>M20</t>
        </is>
      </c>
      <c r="B175" s="11" t="n">
        <v>1</v>
      </c>
      <c r="C175" s="11" t="inlineStr">
        <is>
          <t>00:00–00:04</t>
        </is>
      </c>
      <c r="D175" s="12" t="inlineStr">
        <is>
          <t>Hook</t>
        </is>
      </c>
      <c r="E175" s="13" t="inlineStr">
        <is>
          <t>Semua jari menunjuk kursi kosong bertanda "cuti"</t>
        </is>
      </c>
      <c r="F175" s="13" t="inlineStr">
        <is>
          <t>—</t>
        </is>
      </c>
      <c r="G175" s="13" t="inlineStr">
        <is>
          <t>—</t>
        </is>
      </c>
      <c r="H175" s="13" t="inlineStr">
        <is>
          <t>Siapa DPO di sini? 👉🪑</t>
        </is>
      </c>
      <c r="I175" s="13" t="inlineStr">
        <is>
          <t>Siapa DPO di kantor ini? Semua menunjuk… ke orang yang lagi cuti.</t>
        </is>
      </c>
      <c r="J175" s="13" t="inlineStr">
        <is>
          <t>vineboom</t>
        </is>
      </c>
    </row>
    <row r="176" ht="58" customHeight="1">
      <c r="A176" s="9" t="inlineStr">
        <is>
          <t>M20</t>
        </is>
      </c>
      <c r="B176" s="9" t="n">
        <v>2</v>
      </c>
      <c r="C176" s="9" t="inlineStr">
        <is>
          <t>00:04–00:14</t>
        </is>
      </c>
      <c r="D176" s="14" t="inlineStr">
        <is>
          <t>Fakta</t>
        </is>
      </c>
      <c r="E176" s="5" t="inlineStr">
        <is>
          <t>Kartu pasal</t>
        </is>
      </c>
      <c r="F176" s="5" t="inlineStr">
        <is>
          <t>—</t>
        </is>
      </c>
      <c r="G176" s="5" t="inlineStr">
        <is>
          <t>—</t>
        </is>
      </c>
      <c r="H176" s="5" t="inlineStr">
        <is>
          <t>UU PDP Ps. 53–54: penunjukan &amp; tugas PPDP</t>
        </is>
      </c>
      <c r="I176" s="5" t="inlineStr">
        <is>
          <t>Dalam kondisi tertentu, UU PDP mewajibkan penunjukan pejabat pelindungan data, lengkap dengan tugasnya.</t>
        </is>
      </c>
      <c r="J176" s="5" t="inlineStr">
        <is>
          <t>paper</t>
        </is>
      </c>
    </row>
    <row r="177" ht="58" customHeight="1">
      <c r="A177" s="26" t="inlineStr">
        <is>
          <t>M20</t>
        </is>
      </c>
      <c r="B177" s="26" t="n">
        <v>3</v>
      </c>
      <c r="C177" s="26" t="inlineStr">
        <is>
          <t>00:14–00:26</t>
        </is>
      </c>
      <c r="D177" s="27" t="inlineStr">
        <is>
          <t>Solusi</t>
        </is>
      </c>
      <c r="E177" s="24" t="inlineStr">
        <is>
          <t>Halaman penunjukan PPDP</t>
        </is>
      </c>
      <c r="F177" s="24" t="inlineStr">
        <is>
          <t>BELUM ADA: ambil screenshot /ppdp (rute di audit4 teralih ke dasbor). Sementara: motion/assets/app/dashboard.png</t>
        </is>
      </c>
      <c r="G177" s="24" t="inlineStr">
        <is>
          <t>Sorot antrean kerja &amp; dasbor</t>
        </is>
      </c>
      <c r="H177" s="24" t="inlineStr">
        <is>
          <t>Dasbor &amp; antrean kerja PPDP</t>
        </is>
      </c>
      <c r="I177" s="24" t="inlineStr">
        <is>
          <t>Nexus mendukung kerja harian PPDP: dasbor kepatuhan dan antrean pekerjaan yang menunggu tindakan.</t>
        </is>
      </c>
      <c r="J177" s="24" t="inlineStr">
        <is>
          <t>whoosh</t>
        </is>
      </c>
    </row>
    <row r="178" ht="58" customHeight="1">
      <c r="A178" s="26" t="inlineStr">
        <is>
          <t>M20</t>
        </is>
      </c>
      <c r="B178" s="26" t="n">
        <v>4</v>
      </c>
      <c r="C178" s="26" t="inlineStr">
        <is>
          <t>00:26–00:38</t>
        </is>
      </c>
      <c r="D178" s="27" t="inlineStr">
        <is>
          <t>Bukti</t>
        </is>
      </c>
      <c r="E178" s="24" t="inlineStr">
        <is>
          <t>Paparan sanksi per pasal</t>
        </is>
      </c>
      <c r="F178" s="24" t="inlineStr">
        <is>
          <t>BELUM ADA: ambil screenshot halaman Paparan Sanksi (cek rute; audit4/sanctions.png teralih ke dasbor)</t>
        </is>
      </c>
      <c r="G178" s="24" t="inlineStr">
        <is>
          <t>—</t>
        </is>
      </c>
      <c r="H178" s="24" t="inlineStr">
        <is>
          <t>Pasal bersanksi → modul</t>
        </is>
      </c>
      <c r="I178" s="24" t="inlineStr">
        <is>
          <t>Paparan sanksi memetakan kewajiban yang bersanksi administratif ke modul yang menanganinya.</t>
        </is>
      </c>
      <c r="J178" s="24" t="inlineStr">
        <is>
          <t>dundun</t>
        </is>
      </c>
    </row>
    <row r="179" ht="58" customHeight="1">
      <c r="A179" s="9" t="inlineStr">
        <is>
          <t>M20</t>
        </is>
      </c>
      <c r="B179" s="9" t="n">
        <v>5</v>
      </c>
      <c r="C179" s="9" t="inlineStr">
        <is>
          <t>00:38–00:44</t>
        </is>
      </c>
      <c r="D179" s="14" t="inlineStr">
        <is>
          <t>Fakta</t>
        </is>
      </c>
      <c r="E179" s="5" t="inlineStr">
        <is>
          <t>Angka 2% membesar</t>
        </is>
      </c>
      <c r="F179" s="5" t="inlineStr">
        <is>
          <t>—</t>
        </is>
      </c>
      <c r="G179" s="5" t="inlineStr">
        <is>
          <t>—</t>
        </is>
      </c>
      <c r="H179" s="5" t="inlineStr">
        <is>
          <t>Denda administratif hingga 2% pendapatan tahunan</t>
        </is>
      </c>
      <c r="I179" s="5" t="inlineStr">
        <is>
          <t>Karena sanksinya bisa sampai dua persen pendapatan tahunan.</t>
        </is>
      </c>
      <c r="J179" s="5" t="inlineStr">
        <is>
          <t>impact</t>
        </is>
      </c>
    </row>
    <row r="180" ht="58" customHeight="1">
      <c r="A180" s="18" t="inlineStr">
        <is>
          <t>M20</t>
        </is>
      </c>
      <c r="B180" s="18" t="n">
        <v>6</v>
      </c>
      <c r="C180" s="18" t="inlineStr">
        <is>
          <t>00:44–00:50</t>
        </is>
      </c>
      <c r="D180" s="19" t="inlineStr">
        <is>
          <t>CTA</t>
        </is>
      </c>
      <c r="E180" s="20" t="inlineStr">
        <is>
          <t>Logo + konsultan</t>
        </is>
      </c>
      <c r="F180" s="20" t="inlineStr">
        <is>
          <t>—</t>
        </is>
      </c>
      <c r="G180" s="20" t="inlineStr">
        <is>
          <t>—</t>
        </is>
      </c>
      <c r="H180" s="20" t="inlineStr">
        <is>
          <t>Tunjuk, dukung, dampingi.</t>
        </is>
      </c>
      <c r="I180" s="20" t="inlineStr">
        <is>
          <t>Tunjuk, dukung, dan dampingi DPO-mu. Konsultasi dengan Privasimu.</t>
        </is>
      </c>
      <c r="J180" s="20" t="inlineStr">
        <is>
          <t>sonic logo</t>
        </is>
      </c>
    </row>
    <row r="182" ht="36" customHeight="1">
      <c r="A182" s="25" t="inlineStr">
        <is>
          <t>M21 · Holding (Asesmen &amp; Dasbor Grup) · "1 grup, 12 definisi "patuh"" · 50 dtk · Hook (Anomali): 1 grup usaha. 12 anak perusahaan. 12 definisi "patuh".</t>
        </is>
      </c>
    </row>
    <row r="183" ht="58" customHeight="1">
      <c r="A183" s="11" t="inlineStr">
        <is>
          <t>M21</t>
        </is>
      </c>
      <c r="B183" s="11" t="n">
        <v>1</v>
      </c>
      <c r="C183" s="11" t="inlineStr">
        <is>
          <t>00:00–00:04</t>
        </is>
      </c>
      <c r="D183" s="12" t="inlineStr">
        <is>
          <t>Hook</t>
        </is>
      </c>
      <c r="E183" s="13" t="inlineStr">
        <is>
          <t>12 kotak dengan checklist berbeda-beda</t>
        </is>
      </c>
      <c r="F183" s="13" t="inlineStr">
        <is>
          <t>—</t>
        </is>
      </c>
      <c r="G183" s="13" t="inlineStr">
        <is>
          <t>—</t>
        </is>
      </c>
      <c r="H183" s="13" t="inlineStr">
        <is>
          <t>12 anak usaha = 12 versi "patuh"</t>
        </is>
      </c>
      <c r="I183" s="13" t="inlineStr">
        <is>
          <t>Satu grup usaha. Dua belas anak perusahaan. Dua belas definisi patuh.</t>
        </is>
      </c>
      <c r="J183" s="13" t="inlineStr">
        <is>
          <t>pop ×12</t>
        </is>
      </c>
    </row>
    <row r="184" ht="58" customHeight="1">
      <c r="A184" s="9" t="inlineStr">
        <is>
          <t>M21</t>
        </is>
      </c>
      <c r="B184" s="9" t="n">
        <v>2</v>
      </c>
      <c r="C184" s="9" t="inlineStr">
        <is>
          <t>00:04–00:10</t>
        </is>
      </c>
      <c r="D184" s="14" t="inlineStr">
        <is>
          <t>Masalah</t>
        </is>
      </c>
      <c r="E184" s="5" t="inlineStr">
        <is>
          <t>Kotak-kotak saling menunjuk</t>
        </is>
      </c>
      <c r="F184" s="5" t="inlineStr">
        <is>
          <t>—</t>
        </is>
      </c>
      <c r="G184" s="5" t="inlineStr">
        <is>
          <t>—</t>
        </is>
      </c>
      <c r="H184" s="5" t="inlineStr">
        <is>
          <t>Mana siap, mana tertinggal?</t>
        </is>
      </c>
      <c r="I184" s="5" t="inlineStr">
        <is>
          <t>Mana yang paling siap, mana yang tertinggal?</t>
        </is>
      </c>
      <c r="J184" s="5" t="inlineStr">
        <is>
          <t>crickets</t>
        </is>
      </c>
    </row>
    <row r="185" ht="58" customHeight="1">
      <c r="A185" s="9" t="inlineStr">
        <is>
          <t>M21</t>
        </is>
      </c>
      <c r="B185" s="9" t="n">
        <v>3</v>
      </c>
      <c r="C185" s="9" t="inlineStr">
        <is>
          <t>00:10–00:22</t>
        </is>
      </c>
      <c r="D185" s="14" t="inlineStr">
        <is>
          <t>Solusi</t>
        </is>
      </c>
      <c r="E185" s="5" t="inlineStr">
        <is>
          <t>Kartu KPI dasbor grup</t>
        </is>
      </c>
      <c r="F185" s="5" t="inlineStr">
        <is>
          <t>dataroom/03-tenant/holding-dashboard/01-overview.png</t>
        </is>
      </c>
      <c r="G185" s="5" t="inlineStr">
        <is>
          <t>Crop HANYA kartu KPI [262,40,1002,300]. JANGAN tampilkan daftar entitas. Blur blok user sidebar [0,470,262,140] atau crop mulai x=262. Sorot 4 entitas · 33 RoPA · 19 DPIA</t>
        </is>
      </c>
      <c r="H185" s="5" t="inlineStr">
        <is>
          <t>Satu dasbor untuk seluruh grup</t>
        </is>
      </c>
      <c r="I185" s="5" t="inlineStr">
        <is>
          <t>Holding Dashboard memantau kepatuhan seluruh anak usaha dari satu tempat.</t>
        </is>
      </c>
      <c r="J185" s="5" t="inlineStr">
        <is>
          <t>whoosh</t>
        </is>
      </c>
    </row>
    <row r="186" ht="58" customHeight="1">
      <c r="A186" s="26" t="inlineStr">
        <is>
          <t>M21</t>
        </is>
      </c>
      <c r="B186" s="26" t="n">
        <v>4</v>
      </c>
      <c r="C186" s="26" t="inlineStr">
        <is>
          <t>00:22–00:32</t>
        </is>
      </c>
      <c r="D186" s="27" t="inlineStr">
        <is>
          <t>Bukti</t>
        </is>
      </c>
      <c r="E186" s="24" t="inlineStr">
        <is>
          <t>Skor per entitas, matriks &amp; pohon</t>
        </is>
      </c>
      <c r="F186" s="24" t="inlineStr">
        <is>
          <t>BELUM ADA: ambil screenshot baru dengan nama entitas FIKTIF. JANGAN pakai dataroom/02-superadmin/holding-dashboard/* (berisi nama perusahaan nyata)</t>
        </is>
      </c>
      <c r="G186" s="24" t="inlineStr">
        <is>
          <t>—</t>
        </is>
      </c>
      <c r="H186" s="24" t="inlineStr">
        <is>
          <t>Ringkasan · matriks · pohon</t>
        </is>
      </c>
      <c r="I186" s="24" t="inlineStr">
        <is>
          <t>Skor kepatuhan per entitas, dalam tampilan ringkasan, matriks, dan pohon organisasi.</t>
        </is>
      </c>
      <c r="J186" s="24" t="inlineStr">
        <is>
          <t>pop</t>
        </is>
      </c>
    </row>
    <row r="187" ht="58" customHeight="1">
      <c r="A187" s="9" t="inlineStr">
        <is>
          <t>M21</t>
        </is>
      </c>
      <c r="B187" s="9" t="n">
        <v>5</v>
      </c>
      <c r="C187" s="9" t="inlineStr">
        <is>
          <t>00:32–00:40</t>
        </is>
      </c>
      <c r="D187" s="14" t="inlineStr">
        <is>
          <t>Bukti</t>
        </is>
      </c>
      <c r="E187" s="5" t="inlineStr">
        <is>
          <t>Ikon tautan dikirim ke anak usaha</t>
        </is>
      </c>
      <c r="F187" s="5" t="inlineStr">
        <is>
          <t>—</t>
        </is>
      </c>
      <c r="G187" s="5" t="inlineStr">
        <is>
          <t>—</t>
        </is>
      </c>
      <c r="H187" s="5" t="inlineStr">
        <is>
          <t>Asesmen lewat tautan</t>
        </is>
      </c>
      <c r="I187" s="5" t="inlineStr">
        <is>
          <t>Asesmen ke anak usaha dikirim lewat tautan, hasilnya kembali ke induk.</t>
        </is>
      </c>
      <c r="J187" s="5" t="inlineStr">
        <is>
          <t>check</t>
        </is>
      </c>
    </row>
    <row r="188" ht="58" customHeight="1">
      <c r="A188" s="18" t="inlineStr">
        <is>
          <t>M21</t>
        </is>
      </c>
      <c r="B188" s="18" t="n">
        <v>6</v>
      </c>
      <c r="C188" s="18" t="inlineStr">
        <is>
          <t>00:40–00:50</t>
        </is>
      </c>
      <c r="D188" s="19" t="inlineStr">
        <is>
          <t>CTA</t>
        </is>
      </c>
      <c r="E188" s="20" t="inlineStr">
        <is>
          <t>12 kotak menyatu jadi satu</t>
        </is>
      </c>
      <c r="F188" s="20" t="inlineStr">
        <is>
          <t>—</t>
        </is>
      </c>
      <c r="G188" s="20" t="inlineStr">
        <is>
          <t>—</t>
        </is>
      </c>
      <c r="H188" s="20" t="inlineStr">
        <is>
          <t>Satu grup, satu standar.</t>
        </is>
      </c>
      <c r="I188" s="20" t="inlineStr">
        <is>
          <t>Satu grup, satu standar. Konsultasi enterprise dengan Privasimu.</t>
        </is>
      </c>
      <c r="J188" s="20" t="inlineStr">
        <is>
          <t>sonic logo</t>
        </is>
      </c>
    </row>
    <row r="190" ht="36" customHeight="1">
      <c r="A190" s="25" t="inlineStr">
        <is>
          <t>M22 · DPO Academy (LMS) · "Jangan ambil kelas ini kalau…" · 45 dtk · Hook (Reverse psychology): Jangan ambil kelas ini… kalau kamu sudah hafal 76 pasal UU PDP.</t>
        </is>
      </c>
    </row>
    <row r="191" ht="58" customHeight="1">
      <c r="A191" s="11" t="inlineStr">
        <is>
          <t>M22</t>
        </is>
      </c>
      <c r="B191" s="11" t="n">
        <v>1</v>
      </c>
      <c r="C191" s="11" t="inlineStr">
        <is>
          <t>00:00–00:04</t>
        </is>
      </c>
      <c r="D191" s="12" t="inlineStr">
        <is>
          <t>Hook</t>
        </is>
      </c>
      <c r="E191" s="13" t="inlineStr">
        <is>
          <t>Pintu kelas dengan tulisan "Khusus yang belum hafal 76 pasal"</t>
        </is>
      </c>
      <c r="F191" s="13" t="inlineStr">
        <is>
          <t>—</t>
        </is>
      </c>
      <c r="G191" s="13" t="inlineStr">
        <is>
          <t>—</t>
        </is>
      </c>
      <c r="H191" s="13" t="inlineStr">
        <is>
          <t>Sudah hafal 76 pasal? Jangan masuk.</t>
        </is>
      </c>
      <c r="I191" s="13" t="inlineStr">
        <is>
          <t>Jangan ambil kelas ini… kalau kamu sudah hafal tujuh puluh enam pasal UU PDP.</t>
        </is>
      </c>
      <c r="J191" s="13" t="inlineStr">
        <is>
          <t>record scratch</t>
        </is>
      </c>
    </row>
    <row r="192" ht="58" customHeight="1">
      <c r="A192" s="11" t="inlineStr">
        <is>
          <t>M22</t>
        </is>
      </c>
      <c r="B192" s="11" t="n">
        <v>2</v>
      </c>
      <c r="C192" s="11" t="inlineStr">
        <is>
          <t>00:04–00:10</t>
        </is>
      </c>
      <c r="D192" s="12" t="inlineStr">
        <is>
          <t>Twist</t>
        </is>
      </c>
      <c r="E192" s="13" t="inlineStr">
        <is>
          <t>Pintu terbuka lebar</t>
        </is>
      </c>
      <c r="F192" s="13" t="inlineStr">
        <is>
          <t>—</t>
        </is>
      </c>
      <c r="G192" s="13" t="inlineStr">
        <is>
          <t>—</t>
        </is>
      </c>
      <c r="H192" s="13" t="inlineStr">
        <is>
          <t>Belum? Kamu tidak sendirian.</t>
        </is>
      </c>
      <c r="I192" s="13" t="inlineStr">
        <is>
          <t>Belum? Kamu tidak sendirian.</t>
        </is>
      </c>
      <c r="J192" s="13" t="inlineStr">
        <is>
          <t>ding</t>
        </is>
      </c>
    </row>
    <row r="193" ht="58" customHeight="1">
      <c r="A193" s="9" t="inlineStr">
        <is>
          <t>M22</t>
        </is>
      </c>
      <c r="B193" s="9" t="n">
        <v>3</v>
      </c>
      <c r="C193" s="9" t="inlineStr">
        <is>
          <t>00:10–00:22</t>
        </is>
      </c>
      <c r="D193" s="14" t="inlineStr">
        <is>
          <t>Solusi</t>
        </is>
      </c>
      <c r="E193" s="5" t="inlineStr">
        <is>
          <t>Kartu kursus DPO Academy</t>
        </is>
      </c>
      <c r="F193" s="5" t="inlineStr">
        <is>
          <t>motion/assets/app/dpo-academy.png</t>
        </is>
      </c>
      <c r="G193" s="5" t="inlineStr">
        <is>
          <t>Siap pakai. Sorot 4 kursus</t>
        </is>
      </c>
      <c r="H193" s="5" t="inlineStr">
        <is>
          <t>4 jalur belajar</t>
        </is>
      </c>
      <c r="I193" s="5" t="inlineStr">
        <is>
          <t>DPO Academy menyiapkan jalur belajar: kepatuhan UU PDP, manajemen risiko, audit, dan tata kelola data.</t>
        </is>
      </c>
      <c r="J193" s="5" t="inlineStr">
        <is>
          <t>whoosh</t>
        </is>
      </c>
    </row>
    <row r="194" ht="58" customHeight="1">
      <c r="A194" s="9" t="inlineStr">
        <is>
          <t>M22</t>
        </is>
      </c>
      <c r="B194" s="9" t="n">
        <v>4</v>
      </c>
      <c r="C194" s="9" t="inlineStr">
        <is>
          <t>00:22–00:32</t>
        </is>
      </c>
      <c r="D194" s="14" t="inlineStr">
        <is>
          <t>Bukti</t>
        </is>
      </c>
      <c r="E194" s="5" t="inlineStr">
        <is>
          <t>Beranda Academy + sertifikat</t>
        </is>
      </c>
      <c r="F194" s="5" t="inlineStr">
        <is>
          <t>dataroom/03-tenant/learn/01-overview.png</t>
        </is>
      </c>
      <c r="G194" s="5" t="inlineStr">
        <is>
          <t>Crop [0,0,1264,700]. BLUR "Selamat datang, &lt;nama&gt;". Sorot "4 Kursus · 4 Jalur" + kartu sertifikat</t>
        </is>
      </c>
      <c r="H194" s="5" t="inlineStr">
        <is>
          <t>Sampai sertifikat</t>
        </is>
      </c>
      <c r="I194" s="5" t="inlineStr">
        <is>
          <t>Belajar bertahap sampai sertifikat penyelesaian.</t>
        </is>
      </c>
      <c r="J194" s="5" t="inlineStr">
        <is>
          <t>levelup</t>
        </is>
      </c>
    </row>
    <row r="195" ht="58" customHeight="1">
      <c r="A195" s="9" t="inlineStr">
        <is>
          <t>M22</t>
        </is>
      </c>
      <c r="B195" s="9" t="n">
        <v>5</v>
      </c>
      <c r="C195" s="9" t="inlineStr">
        <is>
          <t>00:32–00:38</t>
        </is>
      </c>
      <c r="D195" s="14" t="inlineStr">
        <is>
          <t>Bukti</t>
        </is>
      </c>
      <c r="E195" s="5" t="inlineStr">
        <is>
          <t>Lencana &amp; XP</t>
        </is>
      </c>
      <c r="F195" s="5" t="inlineStr">
        <is>
          <t>frontend/tmp/audit4/learn__badges.png</t>
        </is>
      </c>
      <c r="G195" s="5" t="inlineStr">
        <is>
          <t>Crop [0,40,1440,560]. Blur nama org [300,22,200,26]; buang sidebar (x&lt;200)</t>
        </is>
      </c>
      <c r="H195" s="5" t="inlineStr">
        <is>
          <t>Lencana &amp; progres</t>
        </is>
      </c>
      <c r="I195" s="5" t="inlineStr">
        <is>
          <t>Lengkap dengan lencana dan progres belajar.</t>
        </is>
      </c>
      <c r="J195" s="5" t="inlineStr">
        <is>
          <t>coin</t>
        </is>
      </c>
    </row>
    <row r="196" ht="58" customHeight="1">
      <c r="A196" s="18" t="inlineStr">
        <is>
          <t>M22</t>
        </is>
      </c>
      <c r="B196" s="18" t="n">
        <v>6</v>
      </c>
      <c r="C196" s="18" t="inlineStr">
        <is>
          <t>00:38–00:45</t>
        </is>
      </c>
      <c r="D196" s="19" t="inlineStr">
        <is>
          <t>CTA</t>
        </is>
      </c>
      <c r="E196" s="20" t="inlineStr">
        <is>
          <t>Logo + konsultan</t>
        </is>
      </c>
      <c r="F196" s="20" t="inlineStr">
        <is>
          <t>—</t>
        </is>
      </c>
      <c r="G196" s="20" t="inlineStr">
        <is>
          <t>—</t>
        </is>
      </c>
      <c r="H196" s="20" t="inlineStr">
        <is>
          <t>Belajar &amp; didampingi.</t>
        </is>
      </c>
      <c r="I196" s="20" t="inlineStr">
        <is>
          <t>Belajar di Academy, didampingi konsultan Privasimu.</t>
        </is>
      </c>
      <c r="J196" s="20" t="inlineStr">
        <is>
          <t>sonic logo</t>
        </is>
      </c>
    </row>
  </sheetData>
  <mergeCells count="23">
    <mergeCell ref="A5:J5"/>
    <mergeCell ref="A32:J32"/>
    <mergeCell ref="A14:J14"/>
    <mergeCell ref="A141:J141"/>
    <mergeCell ref="A150:J150"/>
    <mergeCell ref="A106:J106"/>
    <mergeCell ref="A53:J53"/>
    <mergeCell ref="A43:J43"/>
    <mergeCell ref="A81:J81"/>
    <mergeCell ref="A96:J96"/>
    <mergeCell ref="A190:J190"/>
    <mergeCell ref="A165:J165"/>
    <mergeCell ref="A114:J114"/>
    <mergeCell ref="A24:J24"/>
    <mergeCell ref="A182:J182"/>
    <mergeCell ref="A60:J60"/>
    <mergeCell ref="A132:J132"/>
    <mergeCell ref="A124:J124"/>
    <mergeCell ref="A174:J174"/>
    <mergeCell ref="A89:J89"/>
    <mergeCell ref="A158:J158"/>
    <mergeCell ref="A2:J2"/>
    <mergeCell ref="A71:J7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16" customWidth="1" min="4" max="4"/>
    <col width="22" customWidth="1" min="5" max="5"/>
    <col width="30" customWidth="1" min="6" max="6"/>
    <col width="40" customWidth="1" min="7" max="7"/>
    <col width="40" customWidth="1" min="8" max="8"/>
    <col width="38" customWidth="1" min="9" max="9"/>
    <col width="16" customWidth="1" min="10" max="10"/>
    <col width="18" customWidth="1" min="11" max="11"/>
    <col width="18" customWidth="1" min="12" max="12"/>
    <col width="12" customWidth="1" min="13" max="13"/>
  </cols>
  <sheetData>
    <row r="1">
      <c r="A1" s="10" t="inlineStr">
        <is>
          <t>Video pendek 5 · 10 · 15 detik (meme &amp; serius)</t>
        </is>
      </c>
    </row>
    <row r="2" ht="46" customHeight="1">
      <c r="A2" s="2" t="inlineStr">
        <is>
          <t>5 detik = bumper (hook + 1 bukti + logo). 10–15 detik = hook + 1–3 bukti + CTA. Kolom Sumber = video panjang yang bisa dipotong (N = video jadi, M = video modul, A = konsep meme).</t>
        </is>
      </c>
    </row>
    <row r="4" ht="34" customHeight="1">
      <c r="A4" s="3" t="inlineStr">
        <is>
          <t>Kode</t>
        </is>
      </c>
      <c r="B4" s="3" t="inlineStr">
        <is>
          <t>Durasi</t>
        </is>
      </c>
      <c r="C4" s="3" t="inlineStr">
        <is>
          <t>Gaya</t>
        </is>
      </c>
      <c r="D4" s="3" t="inlineStr">
        <is>
          <t>Jenis hook</t>
        </is>
      </c>
      <c r="E4" s="3" t="inlineStr">
        <is>
          <t>Judul</t>
        </is>
      </c>
      <c r="F4" s="3" t="inlineStr">
        <is>
          <t>Hook (0–2 dtk)</t>
        </is>
      </c>
      <c r="G4" s="3" t="inlineStr">
        <is>
          <t>Isi per detik</t>
        </is>
      </c>
      <c r="H4" s="3" t="inlineStr">
        <is>
          <t>VO</t>
        </is>
      </c>
      <c r="I4" s="3" t="inlineStr">
        <is>
          <t>Screenshot (path)</t>
        </is>
      </c>
      <c r="J4" s="3" t="inlineStr">
        <is>
          <t>SFX</t>
        </is>
      </c>
      <c r="K4" s="3" t="inlineStr">
        <is>
          <t>CTA</t>
        </is>
      </c>
      <c r="L4" s="3" t="inlineStr">
        <is>
          <t>Platform</t>
        </is>
      </c>
      <c r="M4" s="3" t="inlineStr">
        <is>
          <t>Sumber</t>
        </is>
      </c>
    </row>
    <row r="5" ht="56" customHeight="1">
      <c r="A5" s="15" t="inlineStr">
        <is>
          <t>P01</t>
        </is>
      </c>
      <c r="B5" s="15" t="inlineStr">
        <is>
          <t>5 dtk</t>
        </is>
      </c>
      <c r="C5" s="15" t="inlineStr">
        <is>
          <t>Serius</t>
        </is>
      </c>
      <c r="D5" s="15" t="inlineStr">
        <is>
          <t>Logika dipatahkan</t>
        </is>
      </c>
      <c r="E5" s="16" t="inlineStr">
        <is>
          <t>Patuh bukan perasaan</t>
        </is>
      </c>
      <c r="F5" s="17" t="inlineStr">
        <is>
          <t>"Patuh bukan perasaan."</t>
        </is>
      </c>
      <c r="G5" s="17" t="inlineStr">
        <is>
          <t>0–2: teks hook · 2–4: skor GAP 81% · 4–5: logo + Start Pre Check</t>
        </is>
      </c>
      <c r="H5" s="17" t="inlineStr">
        <is>
          <t>Patuh bukan perasaan. Ukur.</t>
        </is>
      </c>
      <c r="I5" s="17" t="inlineStr">
        <is>
          <t>motion/assets/app/gap-hasil.png</t>
        </is>
      </c>
      <c r="J5" s="17" t="inlineStr">
        <is>
          <t>vine boom</t>
        </is>
      </c>
      <c r="K5" s="17" t="inlineStr">
        <is>
          <t>Start Pre Check</t>
        </is>
      </c>
      <c r="L5" s="17" t="inlineStr">
        <is>
          <t>Bumper YouTube / Stories</t>
        </is>
      </c>
      <c r="M5" s="17" t="inlineStr">
        <is>
          <t>M02</t>
        </is>
      </c>
    </row>
    <row r="6" ht="56" customHeight="1">
      <c r="A6" s="9" t="inlineStr">
        <is>
          <t>P02</t>
        </is>
      </c>
      <c r="B6" s="9" t="inlineStr">
        <is>
          <t>5 dtk</t>
        </is>
      </c>
      <c r="C6" s="9" t="inlineStr">
        <is>
          <t>Meme</t>
        </is>
      </c>
      <c r="D6" s="9" t="inlineStr">
        <is>
          <t>Relate</t>
        </is>
      </c>
      <c r="E6" s="14" t="inlineStr">
        <is>
          <t>Revisi ketiga</t>
        </is>
      </c>
      <c r="F6" s="5" t="inlineStr">
        <is>
          <t>Ikon "RoPA_final_revisi3_FIX.xlsx"</t>
        </is>
      </c>
      <c r="G6" s="5" t="inlineStr">
        <is>
          <t>0–2: file + "FAAAH" · 2–4: RoPA tersimpan di Nexus · 4–5: logo</t>
        </is>
      </c>
      <c r="H6" s="5" t="inlineStr">
        <is>
          <t>Pensiunkan revisi ketiga.</t>
        </is>
      </c>
      <c r="I6" s="5" t="inlineStr">
        <is>
          <t>motion/assets/app/ropa-tersimpan.png</t>
        </is>
      </c>
      <c r="J6" s="5" t="inlineStr">
        <is>
          <t>"FAAAH" (rekam tim)</t>
        </is>
      </c>
      <c r="K6" s="5" t="inlineStr">
        <is>
          <t>privasimu.com</t>
        </is>
      </c>
      <c r="L6" s="5" t="inlineStr">
        <is>
          <t>TikTok / Reels</t>
        </is>
      </c>
      <c r="M6" s="5" t="inlineStr">
        <is>
          <t>M04 · A01</t>
        </is>
      </c>
    </row>
    <row r="7" ht="56" customHeight="1">
      <c r="A7" s="15" t="inlineStr">
        <is>
          <t>P03</t>
        </is>
      </c>
      <c r="B7" s="15" t="inlineStr">
        <is>
          <t>5 dtk</t>
        </is>
      </c>
      <c r="C7" s="15" t="inlineStr">
        <is>
          <t>Serius</t>
        </is>
      </c>
      <c r="D7" s="15" t="inlineStr">
        <is>
          <t>Anomali</t>
        </is>
      </c>
      <c r="E7" s="16" t="inlineStr">
        <is>
          <t>03.00</t>
        </is>
      </c>
      <c r="F7" s="17" t="inlineStr">
        <is>
          <t>"03.00 · dugaan kebocoran"</t>
        </is>
      </c>
      <c r="G7" s="17" t="inlineStr">
        <is>
          <t>0–2: jam 03.00 · 2–4: stepper 5 fase · 4–5: logo</t>
        </is>
      </c>
      <c r="H7" s="17" t="inlineStr">
        <is>
          <t>Jam tiga pagi? Alurnya sudah siap.</t>
        </is>
      </c>
      <c r="I7" s="17" t="inlineStr">
        <is>
          <t>motion/assets/app/breach-detail.png</t>
        </is>
      </c>
      <c r="J7" s="17" t="inlineStr">
        <is>
          <t>alarm → ding</t>
        </is>
      </c>
      <c r="K7" s="17" t="inlineStr">
        <is>
          <t>Schedule Demo</t>
        </is>
      </c>
      <c r="L7" s="17" t="inlineStr">
        <is>
          <t>Bumper</t>
        </is>
      </c>
      <c r="M7" s="17" t="inlineStr">
        <is>
          <t>M11</t>
        </is>
      </c>
    </row>
    <row r="8" ht="56" customHeight="1">
      <c r="A8" s="9" t="inlineStr">
        <is>
          <t>P04</t>
        </is>
      </c>
      <c r="B8" s="9" t="inlineStr">
        <is>
          <t>5 dtk</t>
        </is>
      </c>
      <c r="C8" s="9" t="inlineStr">
        <is>
          <t>Serius</t>
        </is>
      </c>
      <c r="D8" s="9" t="inlineStr">
        <is>
          <t>Anomali</t>
        </is>
      </c>
      <c r="E8" s="14" t="inlineStr">
        <is>
          <t>16.01.2027</t>
        </is>
      </c>
      <c r="F8" s="5" t="inlineStr">
        <is>
          <t>Kalender flip "16.01.2027"</t>
        </is>
      </c>
      <c r="G8" s="5" t="inlineStr">
        <is>
          <t>0–3: kalender + "PP 33 berlaku" · 3–5: "Siap?" + logo</t>
        </is>
      </c>
      <c r="H8" s="5" t="inlineStr">
        <is>
          <t>Enam belas Januari. PP tiga puluh tiga berlaku. Siap?</t>
        </is>
      </c>
      <c r="I8" s="5" t="inlineStr">
        <is>
          <t>—</t>
        </is>
      </c>
      <c r="J8" s="5" t="inlineStr">
        <is>
          <t>flip clock</t>
        </is>
      </c>
      <c r="K8" s="5" t="inlineStr">
        <is>
          <t>Program siap PP 33</t>
        </is>
      </c>
      <c r="L8" s="5" t="inlineStr">
        <is>
          <t>Bumper / Stories</t>
        </is>
      </c>
      <c r="M8" s="5" t="inlineStr">
        <is>
          <t>N01</t>
        </is>
      </c>
    </row>
    <row r="9" ht="56" customHeight="1">
      <c r="A9" s="15" t="inlineStr">
        <is>
          <t>P05</t>
        </is>
      </c>
      <c r="B9" s="15" t="inlineStr">
        <is>
          <t>5 dtk</t>
        </is>
      </c>
      <c r="C9" s="15" t="inlineStr">
        <is>
          <t>Meme</t>
        </is>
      </c>
      <c r="D9" s="15" t="inlineStr">
        <is>
          <t>Relate</t>
        </is>
      </c>
      <c r="E9" s="16" t="inlineStr">
        <is>
          <t>−999 aura</t>
        </is>
      </c>
      <c r="F9" s="17" t="inlineStr">
        <is>
          <t>"−999 aura: kirim KTP lewat grup"</t>
        </is>
      </c>
      <c r="G9" s="17" t="inlineStr">
        <is>
          <t>0–3: −999 aura · 3–5: +1000 aura: Nexus</t>
        </is>
      </c>
      <c r="H9" s="17" t="inlineStr">
        <is>
          <t>—  (teks saja)</t>
        </is>
      </c>
      <c r="I9" s="17" t="inlineStr">
        <is>
          <t>—</t>
        </is>
      </c>
      <c r="J9" s="17" t="inlineStr">
        <is>
          <t>auraDown → auraUp</t>
        </is>
      </c>
      <c r="K9" s="17" t="inlineStr">
        <is>
          <t>privasimu.com</t>
        </is>
      </c>
      <c r="L9" s="17" t="inlineStr">
        <is>
          <t>TikTok / Reels</t>
        </is>
      </c>
      <c r="M9" s="17" t="inlineStr">
        <is>
          <t>A43</t>
        </is>
      </c>
    </row>
    <row r="10" ht="56" customHeight="1">
      <c r="A10" s="9" t="inlineStr">
        <is>
          <t>P06</t>
        </is>
      </c>
      <c r="B10" s="9" t="inlineStr">
        <is>
          <t>5 dtk</t>
        </is>
      </c>
      <c r="C10" s="9" t="inlineStr">
        <is>
          <t>Serius</t>
        </is>
      </c>
      <c r="D10" s="9" t="inlineStr">
        <is>
          <t>Relate</t>
        </is>
      </c>
      <c r="E10" s="14" t="inlineStr">
        <is>
          <t>72 jam</t>
        </is>
      </c>
      <c r="F10" s="5" t="inlineStr">
        <is>
          <t>"72 jam."</t>
        </is>
      </c>
      <c r="G10" s="5" t="inlineStr">
        <is>
          <t>0–2: angka 72 · 2–4: pil "7h tersisa" · 4–5: logo</t>
        </is>
      </c>
      <c r="H10" s="5" t="inlineStr">
        <is>
          <t>Tujuh puluh dua jam. Dihitung otomatis.</t>
        </is>
      </c>
      <c r="I10" s="5" t="inlineStr">
        <is>
          <t>motion/assets/app/dsr-detail.png</t>
        </is>
      </c>
      <c r="J10" s="5" t="inlineStr">
        <is>
          <t>clock</t>
        </is>
      </c>
      <c r="K10" s="5" t="inlineStr">
        <is>
          <t>Schedule Demo</t>
        </is>
      </c>
      <c r="L10" s="5" t="inlineStr">
        <is>
          <t>Bumper</t>
        </is>
      </c>
      <c r="M10" s="5" t="inlineStr">
        <is>
          <t>M07</t>
        </is>
      </c>
    </row>
    <row r="11" ht="56" customHeight="1">
      <c r="A11" s="15" t="inlineStr">
        <is>
          <t>P07</t>
        </is>
      </c>
      <c r="B11" s="15" t="inlineStr">
        <is>
          <t>5 dtk</t>
        </is>
      </c>
      <c r="C11" s="15" t="inlineStr">
        <is>
          <t>Serius</t>
        </is>
      </c>
      <c r="D11" s="15" t="inlineStr">
        <is>
          <t>Logika dipatahkan</t>
        </is>
      </c>
      <c r="E11" s="16" t="inlineStr">
        <is>
          <t>Setuju tanpa bukti</t>
        </is>
      </c>
      <c r="F11" s="17" t="inlineStr">
        <is>
          <t>"Klik setuju tanpa bukti = tidak ada."</t>
        </is>
      </c>
      <c r="G11" s="17" t="inlineStr">
        <is>
          <t>0–2: checkbox · 2–4: integrasi consent · 4–5: logo</t>
        </is>
      </c>
      <c r="H11" s="17" t="inlineStr">
        <is>
          <t>Setuju harus bisa dibuktikan.</t>
        </is>
      </c>
      <c r="I11" s="17" t="inlineStr">
        <is>
          <t>motion/assets/app/consent-detail.png</t>
        </is>
      </c>
      <c r="J11" s="17" t="inlineStr">
        <is>
          <t>klik + buzzer</t>
        </is>
      </c>
      <c r="K11" s="17" t="inlineStr">
        <is>
          <t>Schedule Demo</t>
        </is>
      </c>
      <c r="L11" s="17" t="inlineStr">
        <is>
          <t>Bumper</t>
        </is>
      </c>
      <c r="M11" s="17" t="inlineStr">
        <is>
          <t>M08</t>
        </is>
      </c>
    </row>
    <row r="12" ht="56" customHeight="1">
      <c r="A12" s="9" t="inlineStr">
        <is>
          <t>P08</t>
        </is>
      </c>
      <c r="B12" s="9" t="inlineStr">
        <is>
          <t>5 dtk</t>
        </is>
      </c>
      <c r="C12" s="9" t="inlineStr">
        <is>
          <t>Meme</t>
        </is>
      </c>
      <c r="D12" s="9" t="inlineStr">
        <is>
          <t>Anomali</t>
        </is>
      </c>
      <c r="E12" s="14" t="inlineStr">
        <is>
          <t>Pengguna umur 11</t>
        </is>
      </c>
      <c r="F12" s="5" t="inlineStr">
        <is>
          <t>"Pengguna paling setia: umur 11."</t>
        </is>
      </c>
      <c r="G12" s="5" t="inlineStr">
        <is>
          <t>0–2: avatar anak · 2–4: Children Pro · 4–5: logo</t>
        </is>
      </c>
      <c r="H12" s="5" t="inlineStr">
        <is>
          <t>Butuh izin walinya.</t>
        </is>
      </c>
      <c r="I12" s="5" t="inlineStr">
        <is>
          <t>motion/assets/app/children-pro.png</t>
        </is>
      </c>
      <c r="J12" s="5" t="inlineStr">
        <is>
          <t>pop</t>
        </is>
      </c>
      <c r="K12" s="5" t="inlineStr">
        <is>
          <t>Schedule Demo</t>
        </is>
      </c>
      <c r="L12" s="5" t="inlineStr">
        <is>
          <t>TikTok / Reels</t>
        </is>
      </c>
      <c r="M12" s="5" t="inlineStr">
        <is>
          <t>M09</t>
        </is>
      </c>
    </row>
    <row r="13" ht="56" customHeight="1">
      <c r="A13" s="15" t="inlineStr">
        <is>
          <t>P09</t>
        </is>
      </c>
      <c r="B13" s="15" t="inlineStr">
        <is>
          <t>5 dtk</t>
        </is>
      </c>
      <c r="C13" s="15" t="inlineStr">
        <is>
          <t>Serius</t>
        </is>
      </c>
      <c r="D13" s="15" t="inlineStr">
        <is>
          <t>Logika dipatahkan</t>
        </is>
      </c>
      <c r="E13" s="16" t="inlineStr">
        <is>
          <t>Diteken ≠ aman</t>
        </is>
      </c>
      <c r="F13" s="17" t="inlineStr">
        <is>
          <t>"Kontrak diteken ≠ data aman."</t>
        </is>
      </c>
      <c r="G13" s="17" t="inlineStr">
        <is>
          <t>0–2: tanda tangan · 2–4: ringkasan telaah kontrak · 4–5: logo</t>
        </is>
      </c>
      <c r="H13" s="17" t="inlineStr">
        <is>
          <t>Baca kontrakmu dengan kacamata PDP.</t>
        </is>
      </c>
      <c r="I13" s="17" t="inlineStr">
        <is>
          <t>frontend/tmp/audit4/contract-review.png</t>
        </is>
      </c>
      <c r="J13" s="17" t="inlineStr">
        <is>
          <t>stamp</t>
        </is>
      </c>
      <c r="K13" s="17" t="inlineStr">
        <is>
          <t>Konsultasi</t>
        </is>
      </c>
      <c r="L13" s="17" t="inlineStr">
        <is>
          <t>Bumper LinkedIn</t>
        </is>
      </c>
      <c r="M13" s="17" t="inlineStr">
        <is>
          <t>M17</t>
        </is>
      </c>
    </row>
    <row r="14" ht="56" customHeight="1">
      <c r="A14" s="9" t="inlineStr">
        <is>
          <t>P10</t>
        </is>
      </c>
      <c r="B14" s="9" t="inlineStr">
        <is>
          <t>5 dtk</t>
        </is>
      </c>
      <c r="C14" s="9" t="inlineStr">
        <is>
          <t>Meme</t>
        </is>
      </c>
      <c r="D14" s="9" t="inlineStr">
        <is>
          <t>Logika dipatahkan</t>
        </is>
      </c>
      <c r="E14" s="14" t="inlineStr">
        <is>
          <t>Di cloud 🦗</t>
        </is>
      </c>
      <c r="F14" s="5" t="inlineStr">
        <is>
          <t>"Cloud-nya di negara mana?"</t>
        </is>
      </c>
      <c r="G14" s="5" t="inlineStr">
        <is>
          <t>0–2: chat + jangkrik · 2–4: register transfer · 4–5: logo</t>
        </is>
      </c>
      <c r="H14" s="5" t="inlineStr">
        <is>
          <t>Di cloud bukan jawaban.</t>
        </is>
      </c>
      <c r="I14" s="5" t="inlineStr">
        <is>
          <t>dataroom/03-tenant/cross-border/01-overview.png</t>
        </is>
      </c>
      <c r="J14" s="5" t="inlineStr">
        <is>
          <t>crickets</t>
        </is>
      </c>
      <c r="K14" s="5" t="inlineStr">
        <is>
          <t>Schedule Demo</t>
        </is>
      </c>
      <c r="L14" s="5" t="inlineStr">
        <is>
          <t>TikTok / Reels</t>
        </is>
      </c>
      <c r="M14" s="5" t="inlineStr">
        <is>
          <t>M14</t>
        </is>
      </c>
    </row>
    <row r="15" ht="56" customHeight="1">
      <c r="A15" s="15" t="inlineStr">
        <is>
          <t>P11</t>
        </is>
      </c>
      <c r="B15" s="15" t="inlineStr">
        <is>
          <t>10 dtk</t>
        </is>
      </c>
      <c r="C15" s="15" t="inlineStr">
        <is>
          <t>Meme</t>
        </is>
      </c>
      <c r="D15" s="15" t="inlineStr">
        <is>
          <t>Relate</t>
        </is>
      </c>
      <c r="E15" s="16" t="inlineStr">
        <is>
          <t>Astaga, bercanda</t>
        </is>
      </c>
      <c r="F15" s="17" t="inlineStr">
        <is>
          <t>Chat Pak Bos</t>
        </is>
      </c>
      <c r="G15" s="17" t="inlineStr">
        <is>
          <t>Potongan N11 detik 14–24</t>
        </is>
      </c>
      <c r="H15" s="17" t="inlineStr">
        <is>
          <t>(dari N11)</t>
        </is>
      </c>
      <c r="I15" s="17" t="inlineStr">
        <is>
          <t>out/n11-meme-dpo</t>
        </is>
      </c>
      <c r="J15" s="17" t="inlineStr">
        <is>
          <t>vine boom</t>
        </is>
      </c>
      <c r="K15" s="17" t="inlineStr">
        <is>
          <t>privasimu.com</t>
        </is>
      </c>
      <c r="L15" s="17" t="inlineStr">
        <is>
          <t>TikTok / Reels</t>
        </is>
      </c>
      <c r="M15" s="17" t="inlineStr">
        <is>
          <t>N11 s3–s4</t>
        </is>
      </c>
    </row>
    <row r="16" ht="56" customHeight="1">
      <c r="A16" s="9" t="inlineStr">
        <is>
          <t>P12</t>
        </is>
      </c>
      <c r="B16" s="9" t="inlineStr">
        <is>
          <t>10 dtk</t>
        </is>
      </c>
      <c r="C16" s="9" t="inlineStr">
        <is>
          <t>Meme</t>
        </is>
      </c>
      <c r="D16" s="9" t="inlineStr">
        <is>
          <t>Relate</t>
        </is>
      </c>
      <c r="E16" s="14" t="inlineStr">
        <is>
          <t>Orang have / haven't</t>
        </is>
      </c>
      <c r="F16" s="5" t="inlineStr">
        <is>
          <t>"Ada orang have…"</t>
        </is>
      </c>
      <c r="G16" s="5" t="inlineStr">
        <is>
          <t>Potongan N11 detik 5–14</t>
        </is>
      </c>
      <c r="H16" s="5" t="inlineStr">
        <is>
          <t>(dari N11)</t>
        </is>
      </c>
      <c r="I16" s="5" t="inlineStr">
        <is>
          <t>out/n11-meme-dpo</t>
        </is>
      </c>
      <c r="J16" s="5" t="inlineStr">
        <is>
          <t>vine boom</t>
        </is>
      </c>
      <c r="K16" s="5" t="inlineStr">
        <is>
          <t>privasimu.com</t>
        </is>
      </c>
      <c r="L16" s="5" t="inlineStr">
        <is>
          <t>TikTok / Reels</t>
        </is>
      </c>
      <c r="M16" s="5" t="inlineStr">
        <is>
          <t>N11 s2</t>
        </is>
      </c>
    </row>
    <row r="17" ht="56" customHeight="1">
      <c r="A17" s="15" t="inlineStr">
        <is>
          <t>P13</t>
        </is>
      </c>
      <c r="B17" s="15" t="inlineStr">
        <is>
          <t>10 dtk</t>
        </is>
      </c>
      <c r="C17" s="15" t="inlineStr">
        <is>
          <t>Meme</t>
        </is>
      </c>
      <c r="D17" s="15" t="inlineStr">
        <is>
          <t>Anomali</t>
        </is>
      </c>
      <c r="E17" s="16" t="inlineStr">
        <is>
          <t>Polyester edit</t>
        </is>
      </c>
      <c r="F17" s="17" t="inlineStr">
        <is>
          <t>"Kalau DPO punya polyester edit:"</t>
        </is>
      </c>
      <c r="G17" s="17" t="inlineStr">
        <is>
          <t>Potongan N11 detik 43–50</t>
        </is>
      </c>
      <c r="H17" s="17" t="inlineStr">
        <is>
          <t>(dari N11)</t>
        </is>
      </c>
      <c r="I17" s="17" t="inlineStr">
        <is>
          <t>out/n11-meme-dpo</t>
        </is>
      </c>
      <c r="J17" s="17" t="inlineStr">
        <is>
          <t>funk</t>
        </is>
      </c>
      <c r="K17" s="17" t="inlineStr">
        <is>
          <t>Schedule Demo</t>
        </is>
      </c>
      <c r="L17" s="17" t="inlineStr">
        <is>
          <t>TikTok / Reels</t>
        </is>
      </c>
      <c r="M17" s="17" t="inlineStr">
        <is>
          <t>N11 s7</t>
        </is>
      </c>
    </row>
    <row r="18" ht="56" customHeight="1">
      <c r="A18" s="9" t="inlineStr">
        <is>
          <t>P14</t>
        </is>
      </c>
      <c r="B18" s="9" t="inlineStr">
        <is>
          <t>10 dtk</t>
        </is>
      </c>
      <c r="C18" s="9" t="inlineStr">
        <is>
          <t>Serius</t>
        </is>
      </c>
      <c r="D18" s="9" t="inlineStr">
        <is>
          <t>Anomali</t>
        </is>
      </c>
      <c r="E18" s="14" t="inlineStr">
        <is>
          <t>Pintu orang lain</t>
        </is>
      </c>
      <c r="F18" s="5" t="inlineStr">
        <is>
          <t>"Kebocoran bisa lewat pintu yang bukan milikmu."</t>
        </is>
      </c>
      <c r="G18" s="5" t="inlineStr">
        <is>
          <t>0–3: hook · 3–8: detail pihak ketiga, skor 49 · 8–10: logo</t>
        </is>
      </c>
      <c r="H18" s="5" t="inlineStr">
        <is>
          <t>Kebocoran bisa lewat pintu yang bukan milikmu. Nilai risiko pihak ketigamu.</t>
        </is>
      </c>
      <c r="I18" s="5" t="inlineStr">
        <is>
          <t>dataroom/03-tenant/vendor-risk/07-detail-pihakketiga.png</t>
        </is>
      </c>
      <c r="J18" s="5" t="inlineStr">
        <is>
          <t>dundun</t>
        </is>
      </c>
      <c r="K18" s="5" t="inlineStr">
        <is>
          <t>Schedule Demo</t>
        </is>
      </c>
      <c r="L18" s="5" t="inlineStr">
        <is>
          <t>LinkedIn / Reels</t>
        </is>
      </c>
      <c r="M18" s="5" t="inlineStr">
        <is>
          <t>M13</t>
        </is>
      </c>
    </row>
    <row r="19" ht="56" customHeight="1">
      <c r="A19" s="15" t="inlineStr">
        <is>
          <t>P15</t>
        </is>
      </c>
      <c r="B19" s="15" t="inlineStr">
        <is>
          <t>10 dtk</t>
        </is>
      </c>
      <c r="C19" s="15" t="inlineStr">
        <is>
          <t>Serius</t>
        </is>
      </c>
      <c r="D19" s="15" t="inlineStr">
        <is>
          <t>Logika dipatahkan</t>
        </is>
      </c>
      <c r="E19" s="16" t="inlineStr">
        <is>
          <t>Data yang tak tercatat</t>
        </is>
      </c>
      <c r="F19" s="17" t="inlineStr">
        <is>
          <t>"Data paling berisiko = yang tak kamu tahu ada."</t>
        </is>
      </c>
      <c r="G19" s="17" t="inlineStr">
        <is>
          <t>0–3: hook · 3–8: 187 PII ditemukan · 8–10: logo</t>
        </is>
      </c>
      <c r="H19" s="17" t="inlineStr">
        <is>
          <t>Data paling berisiko adalah yang tidak kamu tahu ada. Temukan dengan Data Discovery.</t>
        </is>
      </c>
      <c r="I19" s="17" t="inlineStr">
        <is>
          <t>dataroom/03-tenant/data-discovery/01-overview.png</t>
        </is>
      </c>
      <c r="J19" s="17" t="inlineStr">
        <is>
          <t>sweep</t>
        </is>
      </c>
      <c r="K19" s="17" t="inlineStr">
        <is>
          <t>Schedule Demo</t>
        </is>
      </c>
      <c r="L19" s="17" t="inlineStr">
        <is>
          <t>LinkedIn / Reels</t>
        </is>
      </c>
      <c r="M19" s="17" t="inlineStr">
        <is>
          <t>M15</t>
        </is>
      </c>
    </row>
    <row r="20" ht="56" customHeight="1">
      <c r="A20" s="9" t="inlineStr">
        <is>
          <t>P16</t>
        </is>
      </c>
      <c r="B20" s="9" t="inlineStr">
        <is>
          <t>10 dtk</t>
        </is>
      </c>
      <c r="C20" s="9" t="inlineStr">
        <is>
          <t>Serius</t>
        </is>
      </c>
      <c r="D20" s="9" t="inlineStr">
        <is>
          <t>Reverse psychology</t>
        </is>
      </c>
      <c r="E20" s="14" t="inlineStr">
        <is>
          <t>Jangan cek skormu</t>
        </is>
      </c>
      <c r="F20" s="5" t="inlineStr">
        <is>
          <t>"Jangan cek skor kepatuhanmu…"</t>
        </is>
      </c>
      <c r="G20" s="5" t="inlineStr">
        <is>
          <t>0–3: hook · 3–8: GAP 81% + rekomendasi · 8–10: Start Pre Check</t>
        </is>
      </c>
      <c r="H20" s="5" t="inlineStr">
        <is>
          <t>Jangan cek skor kepatuhanmu… kalau belum siap kaget. Atau mulai gratis sekarang.</t>
        </is>
      </c>
      <c r="I20" s="5" t="inlineStr">
        <is>
          <t>motion/assets/app/gap-rekomendasi.png</t>
        </is>
      </c>
      <c r="J20" s="5" t="inlineStr">
        <is>
          <t>vine boom</t>
        </is>
      </c>
      <c r="K20" s="5" t="inlineStr">
        <is>
          <t>Start Pre Check</t>
        </is>
      </c>
      <c r="L20" s="5" t="inlineStr">
        <is>
          <t>Reels / Shorts</t>
        </is>
      </c>
      <c r="M20" s="5" t="inlineStr">
        <is>
          <t>M02</t>
        </is>
      </c>
    </row>
    <row r="21" ht="56" customHeight="1">
      <c r="A21" s="15" t="inlineStr">
        <is>
          <t>P17</t>
        </is>
      </c>
      <c r="B21" s="15" t="inlineStr">
        <is>
          <t>10 dtk</t>
        </is>
      </c>
      <c r="C21" s="15" t="inlineStr">
        <is>
          <t>Meme</t>
        </is>
      </c>
      <c r="D21" s="15" t="inlineStr">
        <is>
          <t>Logika dipatahkan</t>
        </is>
      </c>
      <c r="E21" s="16" t="inlineStr">
        <is>
          <t>Latihan kebocoran? 🦗</t>
        </is>
      </c>
      <c r="F21" s="17" t="inlineStr">
        <is>
          <t>"Latihan kebakaran ✅ · latihan kebocoran data 🦗"</t>
        </is>
      </c>
      <c r="G21" s="17" t="inlineStr">
        <is>
          <t>0–3: hook · 3–8: Fire Drill · 8–10: logo</t>
        </is>
      </c>
      <c r="H21" s="17" t="inlineStr">
        <is>
          <t>Kantor rutin latihan kebakaran. Latihan kebocoran data? Ada Fire Drill.</t>
        </is>
      </c>
      <c r="I21" s="17" t="inlineStr">
        <is>
          <t>dataroom/03-tenant/simulation/02-recheck.png</t>
        </is>
      </c>
      <c r="J21" s="17" t="inlineStr">
        <is>
          <t>alarm + crickets</t>
        </is>
      </c>
      <c r="K21" s="17" t="inlineStr">
        <is>
          <t>Konsultasi</t>
        </is>
      </c>
      <c r="L21" s="17" t="inlineStr">
        <is>
          <t>TikTok / Reels</t>
        </is>
      </c>
      <c r="M21" s="17" t="inlineStr">
        <is>
          <t>M12</t>
        </is>
      </c>
    </row>
    <row r="22" ht="56" customHeight="1">
      <c r="A22" s="9" t="inlineStr">
        <is>
          <t>P18</t>
        </is>
      </c>
      <c r="B22" s="9" t="inlineStr">
        <is>
          <t>10 dtk</t>
        </is>
      </c>
      <c r="C22" s="9" t="inlineStr">
        <is>
          <t>Serius</t>
        </is>
      </c>
      <c r="D22" s="9" t="inlineStr">
        <is>
          <t>Logika dipatahkan</t>
        </is>
      </c>
      <c r="E22" s="14" t="inlineStr">
        <is>
          <t>AI yang tidak mengarang</t>
        </is>
      </c>
      <c r="F22" s="5" t="inlineStr">
        <is>
          <t>"AI terbaik untuk DPO bukan yang paling kreatif."</t>
        </is>
      </c>
      <c r="G22" s="5" t="inlineStr">
        <is>
          <t>0–3: hook · 3–8: jawaban Priva · 8–10: logo</t>
        </is>
      </c>
      <c r="H22" s="5" t="inlineStr">
        <is>
          <t>AI terbaik untuk DPO bukan yang paling kreatif, tapi yang tidak mengarang pasal.</t>
        </is>
      </c>
      <c r="I22" s="5" t="inlineStr">
        <is>
          <t>motion/assets/app/ai-agent-chat.png</t>
        </is>
      </c>
      <c r="J22" s="5" t="inlineStr">
        <is>
          <t>record scratch</t>
        </is>
      </c>
      <c r="K22" s="5" t="inlineStr">
        <is>
          <t>Schedule Demo</t>
        </is>
      </c>
      <c r="L22" s="5" t="inlineStr">
        <is>
          <t>LinkedIn</t>
        </is>
      </c>
      <c r="M22" s="5" t="inlineStr">
        <is>
          <t>M19</t>
        </is>
      </c>
    </row>
    <row r="23" ht="56" customHeight="1">
      <c r="A23" s="15" t="inlineStr">
        <is>
          <t>P19</t>
        </is>
      </c>
      <c r="B23" s="15" t="inlineStr">
        <is>
          <t>10 dtk</t>
        </is>
      </c>
      <c r="C23" s="15" t="inlineStr">
        <is>
          <t>Meme</t>
        </is>
      </c>
      <c r="D23" s="15" t="inlineStr">
        <is>
          <t>Reverse psychology</t>
        </is>
      </c>
      <c r="E23" s="16" t="inlineStr">
        <is>
          <t>Jangan ketik ulang</t>
        </is>
      </c>
      <c r="F23" s="17" t="inlineStr">
        <is>
          <t>"Silakan ketik ulang 200 dokumen…"</t>
        </is>
      </c>
      <c r="G23" s="17" t="inlineStr">
        <is>
          <t>0–3: ketikan · 3–4: "…atau jangan" · 4–8: Document Import · 8–10: logo</t>
        </is>
      </c>
      <c r="H23" s="17" t="inlineStr">
        <is>
          <t>Silakan ketik ulang dua ratus dokumen… atau jangan.</t>
        </is>
      </c>
      <c r="I23" s="17" t="inlineStr">
        <is>
          <t>dataroom/03-tenant/document-import/01-overview.png</t>
        </is>
      </c>
      <c r="J23" s="17" t="inlineStr">
        <is>
          <t>key → scratch</t>
        </is>
      </c>
      <c r="K23" s="17" t="inlineStr">
        <is>
          <t>Schedule Demo</t>
        </is>
      </c>
      <c r="L23" s="17" t="inlineStr">
        <is>
          <t>TikTok / Reels</t>
        </is>
      </c>
      <c r="M23" s="17" t="inlineStr">
        <is>
          <t>M18</t>
        </is>
      </c>
    </row>
    <row r="24" ht="56" customHeight="1">
      <c r="A24" s="9" t="inlineStr">
        <is>
          <t>P20</t>
        </is>
      </c>
      <c r="B24" s="9" t="inlineStr">
        <is>
          <t>10 dtk</t>
        </is>
      </c>
      <c r="C24" s="9" t="inlineStr">
        <is>
          <t>Meme</t>
        </is>
      </c>
      <c r="D24" s="9" t="inlineStr">
        <is>
          <t>Logika dipatahkan</t>
        </is>
      </c>
      <c r="E24" s="14" t="inlineStr">
        <is>
          <t>Kinda chic</t>
        </is>
      </c>
      <c r="F24" s="5" t="inlineStr">
        <is>
          <t>"Kinda chic to…"</t>
        </is>
      </c>
      <c r="G24" s="5" t="inlineStr">
        <is>
          <t>Potongan N11 detik 50–58</t>
        </is>
      </c>
      <c r="H24" s="5" t="inlineStr">
        <is>
          <t>(dari N11)</t>
        </is>
      </c>
      <c r="I24" s="5" t="inlineStr">
        <is>
          <t>out/n11-meme-dpo</t>
        </is>
      </c>
      <c r="J24" s="5" t="inlineStr">
        <is>
          <t>lo-fi</t>
        </is>
      </c>
      <c r="K24" s="5" t="inlineStr">
        <is>
          <t>privasimu.com</t>
        </is>
      </c>
      <c r="L24" s="5" t="inlineStr">
        <is>
          <t>Instagram / LinkedIn</t>
        </is>
      </c>
      <c r="M24" s="5" t="inlineStr">
        <is>
          <t>N11 s8</t>
        </is>
      </c>
    </row>
    <row r="25" ht="56" customHeight="1">
      <c r="A25" s="15" t="inlineStr">
        <is>
          <t>P21</t>
        </is>
      </c>
      <c r="B25" s="15" t="inlineStr">
        <is>
          <t>15 dtk</t>
        </is>
      </c>
      <c r="C25" s="15" t="inlineStr">
        <is>
          <t>Meme</t>
        </is>
      </c>
      <c r="D25" s="15" t="inlineStr">
        <is>
          <t>Reverse psychology</t>
        </is>
      </c>
      <c r="E25" s="16" t="inlineStr">
        <is>
          <t>Things to say ke auditor</t>
        </is>
      </c>
      <c r="F25" s="17" t="inlineStr">
        <is>
          <t>"Hal yang bisa kamu bilang ke auditor:"</t>
        </is>
      </c>
      <c r="G25" s="17" t="inlineStr">
        <is>
          <t>Potongan N11 detik 24–34</t>
        </is>
      </c>
      <c r="H25" s="17" t="inlineStr">
        <is>
          <t>(dari N11)</t>
        </is>
      </c>
      <c r="I25" s="17" t="inlineStr">
        <is>
          <t>out/n11-meme-dpo</t>
        </is>
      </c>
      <c r="J25" s="17" t="inlineStr">
        <is>
          <t>phonk</t>
        </is>
      </c>
      <c r="K25" s="17" t="inlineStr">
        <is>
          <t>privasimu.com</t>
        </is>
      </c>
      <c r="L25" s="17" t="inlineStr">
        <is>
          <t>TikTok / Reels</t>
        </is>
      </c>
      <c r="M25" s="17" t="inlineStr">
        <is>
          <t>N11 s5</t>
        </is>
      </c>
    </row>
    <row r="26" ht="56" customHeight="1">
      <c r="A26" s="9" t="inlineStr">
        <is>
          <t>P22</t>
        </is>
      </c>
      <c r="B26" s="9" t="inlineStr">
        <is>
          <t>15 dtk</t>
        </is>
      </c>
      <c r="C26" s="9" t="inlineStr">
        <is>
          <t>Meme</t>
        </is>
      </c>
      <c r="D26" s="9" t="inlineStr">
        <is>
          <t>Anomali</t>
        </is>
      </c>
      <c r="E26" s="14" t="inlineStr">
        <is>
          <t>Borgol 3×24 jam</t>
        </is>
      </c>
      <c r="F26" s="5" t="inlineStr">
        <is>
          <t>"Jam 3 pagi: dugaan kebocoran data."</t>
        </is>
      </c>
      <c r="G26" s="5" t="inlineStr">
        <is>
          <t>Potongan N11 detik 34–43</t>
        </is>
      </c>
      <c r="H26" s="5" t="inlineStr">
        <is>
          <t>(dari N11)</t>
        </is>
      </c>
      <c r="I26" s="5" t="inlineStr">
        <is>
          <t>out/n11-meme-dpo</t>
        </is>
      </c>
      <c r="J26" s="5" t="inlineStr">
        <is>
          <t>clank</t>
        </is>
      </c>
      <c r="K26" s="5" t="inlineStr">
        <is>
          <t>Schedule Demo</t>
        </is>
      </c>
      <c r="L26" s="5" t="inlineStr">
        <is>
          <t>TikTok / Reels</t>
        </is>
      </c>
      <c r="M26" s="5" t="inlineStr">
        <is>
          <t>N11 s6</t>
        </is>
      </c>
    </row>
    <row r="27" ht="56" customHeight="1">
      <c r="A27" s="15" t="inlineStr">
        <is>
          <t>P23</t>
        </is>
      </c>
      <c r="B27" s="15" t="inlineStr">
        <is>
          <t>15 dtk</t>
        </is>
      </c>
      <c r="C27" s="15" t="inlineStr">
        <is>
          <t>Serius</t>
        </is>
      </c>
      <c r="D27" s="15" t="inlineStr">
        <is>
          <t>Relate</t>
        </is>
      </c>
      <c r="E27" s="16" t="inlineStr">
        <is>
          <t>Email paling ditakuti CS</t>
        </is>
      </c>
      <c r="F27" s="17" t="inlineStr">
        <is>
          <t>📩 "Tolong hapus semua data saya."</t>
        </is>
      </c>
      <c r="G27" s="17" t="inlineStr">
        <is>
          <t>0–3: email · 3–7: form DSR · 7–11: tenggat 72 jam · 11–13: sertifikat · 13–15: logo</t>
        </is>
      </c>
      <c r="H27" s="17" t="inlineStr">
        <is>
          <t>Email paling ditakuti CS. Di Nexus: formulir, tenggat tujuh puluh dua jam otomatis, sampai sertifikat penyelesaian.</t>
        </is>
      </c>
      <c r="I27" s="17" t="inlineStr">
        <is>
          <t>motion/assets/app/dsr-form.png → motion/assets/app/dsr-detail.png → dataroom/03-tenant/dsr/09-tab-certificates.png</t>
        </is>
      </c>
      <c r="J27" s="17" t="inlineStr">
        <is>
          <t>notif, clock, correct</t>
        </is>
      </c>
      <c r="K27" s="17" t="inlineStr">
        <is>
          <t>Schedule Demo</t>
        </is>
      </c>
      <c r="L27" s="17" t="inlineStr">
        <is>
          <t>Reels / LinkedIn</t>
        </is>
      </c>
      <c r="M27" s="17" t="inlineStr">
        <is>
          <t>M07</t>
        </is>
      </c>
    </row>
    <row r="28" ht="56" customHeight="1">
      <c r="A28" s="9" t="inlineStr">
        <is>
          <t>P24</t>
        </is>
      </c>
      <c r="B28" s="9" t="inlineStr">
        <is>
          <t>15 dtk</t>
        </is>
      </c>
      <c r="C28" s="9" t="inlineStr">
        <is>
          <t>Serius</t>
        </is>
      </c>
      <c r="D28" s="9" t="inlineStr">
        <is>
          <t>Logika dipatahkan</t>
        </is>
      </c>
      <c r="E28" s="14" t="inlineStr">
        <is>
          <t>Kepentingan sah ≠ cek kosong</t>
        </is>
      </c>
      <c r="F28" s="5" t="inlineStr">
        <is>
          <t>"Kan ada kepentingan yang sah." BELUM TENTU.</t>
        </is>
      </c>
      <c r="G28" s="5" t="inlineStr">
        <is>
          <t>0–3: hook · 3–8: kutipan Ps. 20 (2) f · 8–13: modul LIA · 13–15: logo</t>
        </is>
      </c>
      <c r="H28" s="5" t="inlineStr">
        <is>
          <t>Kepentingan yang sah harus ditimbang, bukan diasumsikan. Dokumentasikan dengan LIA.</t>
        </is>
      </c>
      <c r="I28" s="24" t="inlineStr">
        <is>
          <t>frontend/tmp/audit4/lia.png (header) · PERLU SCREENSHOT BARU</t>
        </is>
      </c>
      <c r="J28" s="5" t="inlineStr">
        <is>
          <t>stamp</t>
        </is>
      </c>
      <c r="K28" s="5" t="inlineStr">
        <is>
          <t>Schedule Demo</t>
        </is>
      </c>
      <c r="L28" s="5" t="inlineStr">
        <is>
          <t>LinkedIn</t>
        </is>
      </c>
      <c r="M28" s="5" t="inlineStr">
        <is>
          <t>M06</t>
        </is>
      </c>
    </row>
    <row r="29" ht="56" customHeight="1">
      <c r="A29" s="15" t="inlineStr">
        <is>
          <t>P25</t>
        </is>
      </c>
      <c r="B29" s="15" t="inlineStr">
        <is>
          <t>15 dtk</t>
        </is>
      </c>
      <c r="C29" s="15" t="inlineStr">
        <is>
          <t>Serius</t>
        </is>
      </c>
      <c r="D29" s="15" t="inlineStr">
        <is>
          <t>Anomali</t>
        </is>
      </c>
      <c r="E29" s="16" t="inlineStr">
        <is>
          <t>12 definisi patuh</t>
        </is>
      </c>
      <c r="F29" s="17" t="inlineStr">
        <is>
          <t>"12 anak usaha, 12 definisi patuh."</t>
        </is>
      </c>
      <c r="G29" s="17" t="inlineStr">
        <is>
          <t>0–3: hook · 3–10: KPI dasbor grup · 10–15: logo + konsultasi enterprise</t>
        </is>
      </c>
      <c r="H29" s="17" t="inlineStr">
        <is>
          <t>Satu grup, satu standar kepatuhan. Holding Dashboard Privasimu.</t>
        </is>
      </c>
      <c r="I29" s="17" t="inlineStr">
        <is>
          <t>dataroom/03-tenant/holding-dashboard/01-overview.png (hanya KPI)</t>
        </is>
      </c>
      <c r="J29" s="17" t="inlineStr">
        <is>
          <t>pop</t>
        </is>
      </c>
      <c r="K29" s="17" t="inlineStr">
        <is>
          <t>Konsultasi enterprise</t>
        </is>
      </c>
      <c r="L29" s="17" t="inlineStr">
        <is>
          <t>LinkedIn</t>
        </is>
      </c>
      <c r="M29" s="17" t="inlineStr">
        <is>
          <t>M21</t>
        </is>
      </c>
    </row>
    <row r="30" ht="56" customHeight="1">
      <c r="A30" s="9" t="inlineStr">
        <is>
          <t>P26</t>
        </is>
      </c>
      <c r="B30" s="9" t="inlineStr">
        <is>
          <t>15 dtk</t>
        </is>
      </c>
      <c r="C30" s="9" t="inlineStr">
        <is>
          <t>Serius</t>
        </is>
      </c>
      <c r="D30" s="9" t="inlineStr">
        <is>
          <t>Reverse psychology</t>
        </is>
      </c>
      <c r="E30" s="14" t="inlineStr">
        <is>
          <t>Jangan tunjuk DPO kalau…</t>
        </is>
      </c>
      <c r="F30" s="5" t="inlineStr">
        <is>
          <t>"Jangan tunjuk DPO… kalau tidak siap mendukungnya."</t>
        </is>
      </c>
      <c r="G30" s="5" t="inlineStr">
        <is>
          <t>0–3: hook · 3–8: Academy · 8–12: konsultan · 12–15: logo</t>
        </is>
      </c>
      <c r="H30" s="5" t="inlineStr">
        <is>
          <t>Menunjuk DPO itu awal. Dukung dengan DPO Academy dan pendampingan konsultan Privasimu.</t>
        </is>
      </c>
      <c r="I30" s="5" t="inlineStr">
        <is>
          <t>motion/assets/app/dpo-academy.png</t>
        </is>
      </c>
      <c r="J30" s="5" t="inlineStr">
        <is>
          <t>ding</t>
        </is>
      </c>
      <c r="K30" s="5" t="inlineStr">
        <is>
          <t>Konsultasi</t>
        </is>
      </c>
      <c r="L30" s="5" t="inlineStr">
        <is>
          <t>LinkedIn</t>
        </is>
      </c>
      <c r="M30" s="5" t="inlineStr">
        <is>
          <t>M22 · M20</t>
        </is>
      </c>
    </row>
    <row r="31" ht="56" customHeight="1">
      <c r="A31" s="15" t="inlineStr">
        <is>
          <t>P27</t>
        </is>
      </c>
      <c r="B31" s="15" t="inlineStr">
        <is>
          <t>15 dtk</t>
        </is>
      </c>
      <c r="C31" s="15" t="inlineStr">
        <is>
          <t>Serius</t>
        </is>
      </c>
      <c r="D31" s="15" t="inlineStr">
        <is>
          <t>Logika dipatahkan</t>
        </is>
      </c>
      <c r="E31" s="16" t="inlineStr">
        <is>
          <t>Konsultan yang mendampingi</t>
        </is>
      </c>
      <c r="F31" s="17" t="inlineStr">
        <is>
          <t>"Konsultan terbaik bukan yang laporannya paling tebal."</t>
        </is>
      </c>
      <c r="G31" s="17" t="inlineStr">
        <is>
          <t>0–4: hook · 4–11: pendampingan + tools · 11–15: logo</t>
        </is>
      </c>
      <c r="H31" s="17" t="inlineStr">
        <is>
          <t>Konsultan terbaik bukan yang laporannya paling tebal, tapi yang mendampingi sampai audit.</t>
        </is>
      </c>
      <c r="I31" s="17" t="inlineStr">
        <is>
          <t>—</t>
        </is>
      </c>
      <c r="J31" s="17" t="inlineStr">
        <is>
          <t>record scratch</t>
        </is>
      </c>
      <c r="K31" s="17" t="inlineStr">
        <is>
          <t>Konsultasi</t>
        </is>
      </c>
      <c r="L31" s="17" t="inlineStr">
        <is>
          <t>LinkedIn / YouTube</t>
        </is>
      </c>
      <c r="M31" s="17" t="inlineStr">
        <is>
          <t>N07</t>
        </is>
      </c>
    </row>
    <row r="32" ht="56" customHeight="1">
      <c r="A32" s="9" t="inlineStr">
        <is>
          <t>P28</t>
        </is>
      </c>
      <c r="B32" s="9" t="inlineStr">
        <is>
          <t>15 dtk</t>
        </is>
      </c>
      <c r="C32" s="9" t="inlineStr">
        <is>
          <t>Serius</t>
        </is>
      </c>
      <c r="D32" s="9" t="inlineStr">
        <is>
          <t>Anomali</t>
        </is>
      </c>
      <c r="E32" s="14" t="inlineStr">
        <is>
          <t>Sisa X hari</t>
        </is>
      </c>
      <c r="F32" s="5" t="inlineStr">
        <is>
          <t>"X hari lagi PP 33 berlaku."</t>
        </is>
      </c>
      <c r="G32" s="5" t="inlineStr">
        <is>
          <t>0–3: hitung mundur · 3–11: program siap PP 33 · 11–15: logo</t>
        </is>
      </c>
      <c r="H32" s="5" t="inlineStr">
        <is>
          <t>Hitung mundur sudah jalan. Program siap PP tiga puluh tiga bersama Privasimu.</t>
        </is>
      </c>
      <c r="I32" s="5" t="inlineStr">
        <is>
          <t>—</t>
        </is>
      </c>
      <c r="J32" s="5" t="inlineStr">
        <is>
          <t>flip clock</t>
        </is>
      </c>
      <c r="K32" s="5" t="inlineStr">
        <is>
          <t>Program siap PP 33</t>
        </is>
      </c>
      <c r="L32" s="5" t="inlineStr">
        <is>
          <t>Stories / Reels</t>
        </is>
      </c>
      <c r="M32" s="5" t="inlineStr">
        <is>
          <t>N01 · N08</t>
        </is>
      </c>
    </row>
    <row r="33" ht="56" customHeight="1">
      <c r="A33" s="15" t="inlineStr">
        <is>
          <t>P29</t>
        </is>
      </c>
      <c r="B33" s="15" t="inlineStr">
        <is>
          <t>15 dtk</t>
        </is>
      </c>
      <c r="C33" s="15" t="inlineStr">
        <is>
          <t>Serius</t>
        </is>
      </c>
      <c r="D33" s="15" t="inlineStr">
        <is>
          <t>Anomali</t>
        </is>
      </c>
      <c r="E33" s="16" t="inlineStr">
        <is>
          <t>Denda 2%</t>
        </is>
      </c>
      <c r="F33" s="17" t="inlineStr">
        <is>
          <t>"Denda bisa sampai 2% pendapatan tahunan."</t>
        </is>
      </c>
      <c r="G33" s="17" t="inlineStr">
        <is>
          <t>0–3: angka 2% · 3–11: paparan sanksi (SCREENSHOT BARU) · 11–15: konsultasi</t>
        </is>
      </c>
      <c r="H33" s="17" t="inlineStr">
        <is>
          <t>Sanksi administratif bisa sampai dua persen pendapatan tahunan. Petakan paparannya sekarang.</t>
        </is>
      </c>
      <c r="I33" s="24" t="inlineStr">
        <is>
          <t>BELUM ADA: screenshot Paparan Sanksi</t>
        </is>
      </c>
      <c r="J33" s="17" t="inlineStr">
        <is>
          <t>dundun</t>
        </is>
      </c>
      <c r="K33" s="17" t="inlineStr">
        <is>
          <t>Konsultasi</t>
        </is>
      </c>
      <c r="L33" s="17" t="inlineStr">
        <is>
          <t>LinkedIn</t>
        </is>
      </c>
      <c r="M33" s="17" t="inlineStr">
        <is>
          <t>M20</t>
        </is>
      </c>
    </row>
    <row r="34" ht="56" customHeight="1">
      <c r="A34" s="9" t="inlineStr">
        <is>
          <t>P30</t>
        </is>
      </c>
      <c r="B34" s="9" t="inlineStr">
        <is>
          <t>15 dtk</t>
        </is>
      </c>
      <c r="C34" s="9" t="inlineStr">
        <is>
          <t>Serius</t>
        </is>
      </c>
      <c r="D34" s="9" t="inlineStr">
        <is>
          <t>Relate</t>
        </is>
      </c>
      <c r="E34" s="14" t="inlineStr">
        <is>
          <t>Jam 3 pagi (mini)</t>
        </is>
      </c>
      <c r="F34" s="5" t="inlineStr">
        <is>
          <t>"03.00 · dugaan kebocoran data."</t>
        </is>
      </c>
      <c r="G34" s="5" t="inlineStr">
        <is>
          <t>0–3: HP bergetar · 3–7: 5 fase · 7–11: templat &amp; RACI · 11–15: logo</t>
        </is>
      </c>
      <c r="H34" s="5" t="inlineStr">
        <is>
          <t>Jam tiga pagi. Alurnya sudah siap: lima fase, templat, dan pembagian peran.</t>
        </is>
      </c>
      <c r="I34" s="5" t="inlineStr">
        <is>
          <t>motion/assets/app/breach-detail.png → motion/assets/app/breach-aksi.png</t>
        </is>
      </c>
      <c r="J34" s="5" t="inlineStr">
        <is>
          <t>notif, alarm, ding</t>
        </is>
      </c>
      <c r="K34" s="5" t="inlineStr">
        <is>
          <t>Schedule Demo</t>
        </is>
      </c>
      <c r="L34" s="5" t="inlineStr">
        <is>
          <t>Reels / LinkedIn</t>
        </is>
      </c>
      <c r="M34" s="5" t="inlineStr">
        <is>
          <t>M11</t>
        </is>
      </c>
    </row>
    <row r="35" ht="56" customHeight="1">
      <c r="A35" s="15" t="inlineStr">
        <is>
          <t>P31</t>
        </is>
      </c>
      <c r="B35" s="15" t="inlineStr">
        <is>
          <t>15 dtk</t>
        </is>
      </c>
      <c r="C35" s="15" t="inlineStr">
        <is>
          <t>Meme</t>
        </is>
      </c>
      <c r="D35" s="15" t="inlineStr">
        <is>
          <t>Relate</t>
        </is>
      </c>
      <c r="E35" s="16" t="inlineStr">
        <is>
          <t>Tell me you're a DPO</t>
        </is>
      </c>
      <c r="F35" s="17" t="inlineStr">
        <is>
          <t>"Tell me you're a DPO without telling me"</t>
        </is>
      </c>
      <c r="G35" s="17" t="inlineStr">
        <is>
          <t>0–3: hook · 3–12: 4 kebiasaan DPO · 12–15: logo + "tag DPO-mu"</t>
        </is>
      </c>
      <c r="H35" s="17" t="inlineStr">
        <is>
          <t>—  (teks + musik)</t>
        </is>
      </c>
      <c r="I35" s="17" t="inlineStr">
        <is>
          <t>—</t>
        </is>
      </c>
      <c r="J35" s="17" t="inlineStr">
        <is>
          <t>pop, vine boom</t>
        </is>
      </c>
      <c r="K35" s="17" t="inlineStr">
        <is>
          <t>Tag DPO kantormu</t>
        </is>
      </c>
      <c r="L35" s="17" t="inlineStr">
        <is>
          <t>TikTok / Reels</t>
        </is>
      </c>
      <c r="M35" s="17" t="inlineStr">
        <is>
          <t>A12</t>
        </is>
      </c>
    </row>
    <row r="36" ht="56" customHeight="1">
      <c r="A36" s="9" t="inlineStr">
        <is>
          <t>P32</t>
        </is>
      </c>
      <c r="B36" s="9" t="inlineStr">
        <is>
          <t>15 dtk</t>
        </is>
      </c>
      <c r="C36" s="9" t="inlineStr">
        <is>
          <t>Serius</t>
        </is>
      </c>
      <c r="D36" s="9" t="inlineStr">
        <is>
          <t>Logika dipatahkan</t>
        </is>
      </c>
      <c r="E36" s="14" t="inlineStr">
        <is>
          <t>Laporan paling tebal</t>
        </is>
      </c>
      <c r="F36" s="5" t="inlineStr">
        <is>
          <t>"Laporan kepatuhan terbaik bukan yang paling tebal."</t>
        </is>
      </c>
      <c r="G36" s="5" t="inlineStr">
        <is>
          <t>0–3: hook · 3–12: dasbor + postur · 12–15: logo</t>
        </is>
      </c>
      <c r="H36" s="5" t="inlineStr">
        <is>
          <t>Laporan kepatuhan terbaik bukan yang paling tebal, tapi yang bisa dibaca dalam sepuluh detik.</t>
        </is>
      </c>
      <c r="I36" s="5" t="inlineStr">
        <is>
          <t>motion/assets/app/dashboard.png → frontend/tmp/audit4/security.png</t>
        </is>
      </c>
      <c r="J36" s="5" t="inlineStr">
        <is>
          <t>impact</t>
        </is>
      </c>
      <c r="K36" s="5" t="inlineStr">
        <is>
          <t>Start Pre Check</t>
        </is>
      </c>
      <c r="L36" s="5" t="inlineStr">
        <is>
          <t>LinkedIn / YouTube</t>
        </is>
      </c>
      <c r="M36" s="5" t="inlineStr">
        <is>
          <t>M01</t>
        </is>
      </c>
    </row>
  </sheetData>
  <autoFilter ref="A4:M36"/>
  <mergeCells count="1"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6" customWidth="1" min="4" max="4"/>
    <col width="18" customWidth="1" min="5" max="5"/>
    <col width="22" customWidth="1" min="6" max="6"/>
    <col width="22" customWidth="1" min="7" max="7"/>
    <col width="38" customWidth="1" min="8" max="8"/>
    <col width="16" customWidth="1" min="9" max="9"/>
    <col width="60" customWidth="1" min="10" max="10"/>
    <col width="36" customWidth="1" min="11" max="11"/>
    <col width="18" customWidth="1" min="12" max="12"/>
    <col width="24" customWidth="1" min="13" max="13"/>
    <col width="26" customWidth="1" min="14" max="14"/>
    <col width="36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9" customWidth="1" min="22" max="22"/>
    <col width="16" customWidth="1" min="23" max="23"/>
    <col width="34" customWidth="1" min="24" max="24"/>
    <col width="22" customWidth="1" min="25" max="25"/>
    <col width="22" customWidth="1" min="26" max="26"/>
    <col hidden="1" width="6" customWidth="1" min="27" max="27"/>
  </cols>
  <sheetData>
    <row r="1" ht="34" customHeight="1">
      <c r="A1" s="3" t="inlineStr">
        <is>
          <t>ID</t>
        </is>
      </c>
      <c r="B1" s="3" t="inlineStr">
        <is>
          <t>Judul konsep</t>
        </is>
      </c>
      <c r="C1" s="3" t="inlineStr">
        <is>
          <t>Format / tren meme</t>
        </is>
      </c>
      <c r="D1" s="3" t="inlineStr">
        <is>
          <t>Kategori</t>
        </is>
      </c>
      <c r="E1" s="3" t="inlineStr">
        <is>
          <t>Tujuan utama</t>
        </is>
      </c>
      <c r="F1" s="3" t="inlineStr">
        <is>
          <t>Target persona</t>
        </is>
      </c>
      <c r="G1" s="3" t="inlineStr">
        <is>
          <t>Platform &amp; durasi</t>
        </is>
      </c>
      <c r="H1" s="3" t="inlineStr">
        <is>
          <t>Hook (0–3 detik)</t>
        </is>
      </c>
      <c r="I1" s="3" t="inlineStr">
        <is>
          <t>Jenis hook</t>
        </is>
      </c>
      <c r="J1" s="3" t="inlineStr">
        <is>
          <t>Alur (per detik)</t>
        </is>
      </c>
      <c r="K1" s="3" t="inlineStr">
        <is>
          <t>Audio meme &amp; SFX</t>
        </is>
      </c>
      <c r="L1" s="3" t="inlineStr">
        <is>
          <t>Efek VO</t>
        </is>
      </c>
      <c r="M1" s="3" t="inlineStr">
        <is>
          <t>Modul / layanan</t>
        </is>
      </c>
      <c r="N1" s="3" t="inlineStr">
        <is>
          <t>CTA</t>
        </is>
      </c>
      <c r="O1" s="3" t="inlineStr">
        <is>
          <t>Dasar fakta / klaim</t>
        </is>
      </c>
      <c r="P1" s="3" t="inlineStr">
        <is>
          <t>Relatable (1–10)</t>
        </is>
      </c>
      <c r="Q1" s="3" t="inlineStr">
        <is>
          <t>Awareness (1–10)</t>
        </is>
      </c>
      <c r="R1" s="3" t="inlineStr">
        <is>
          <t>Convert (1–10)</t>
        </is>
      </c>
      <c r="S1" s="3" t="inlineStr">
        <is>
          <t>Share (1–10)</t>
        </is>
      </c>
      <c r="T1" s="3" t="inlineStr">
        <is>
          <t>SKOR TOTAL</t>
        </is>
      </c>
      <c r="U1" s="3" t="inlineStr">
        <is>
          <t>Indeks viral</t>
        </is>
      </c>
      <c r="V1" s="3" t="inlineStr">
        <is>
          <t>Peringkat</t>
        </is>
      </c>
      <c r="W1" s="3" t="inlineStr">
        <is>
          <t>Effort produksi</t>
        </is>
      </c>
      <c r="X1" s="3" t="inlineStr">
        <is>
          <t>Risiko &amp; catatan</t>
        </is>
      </c>
      <c r="Y1" s="3" t="inlineStr">
        <is>
          <t>Status</t>
        </is>
      </c>
      <c r="Z1" s="3" t="inlineStr">
        <is>
          <t>Waktu tayang terbaik</t>
        </is>
      </c>
      <c r="AA1" s="3" t="inlineStr">
        <is>
          <t>kunci</t>
        </is>
      </c>
    </row>
    <row r="2" ht="120" customHeight="1">
      <c r="A2" s="15" t="inlineStr">
        <is>
          <t>A01</t>
        </is>
      </c>
      <c r="B2" s="16" t="inlineStr">
        <is>
          <t>FAAAH: RoPA-nya masih Excel</t>
        </is>
      </c>
      <c r="C2" s="17" t="inlineStr">
        <is>
          <t>POV + suara "FAAAH" (gagal total)</t>
        </is>
      </c>
      <c r="D2" s="17" t="inlineStr">
        <is>
          <t>Tools</t>
        </is>
      </c>
      <c r="E2" s="17" t="inlineStr">
        <is>
          <t>Awareness → Konversi</t>
        </is>
      </c>
      <c r="F2" s="17" t="inlineStr">
        <is>
          <t>DPO, tim legal</t>
        </is>
      </c>
      <c r="G2" s="17" t="inlineStr">
        <is>
          <t>TikTok/Reels/Shorts 15–20 dtk</t>
        </is>
      </c>
      <c r="H2" s="17" t="inlineStr">
        <is>
          <t>Teks: "POV: auditor minta RoPA, kamu buka RoPA_final_revisi3_FIX.xlsx"</t>
        </is>
      </c>
      <c r="I2" s="15" t="inlineStr">
        <is>
          <t>Relate</t>
        </is>
      </c>
      <c r="J2" s="17" t="inlineStr">
        <is>
          <t>0–3 dtk: laptop membuka file spreadsheet pelan-pelan
3–5: "Tidak merespons…" → "FAAAH" + zoom ke wajah DPO 😩
5–10: potong ke wizard RoPA Nexus (screenshot asli): satu register, kode ROPA otomatis, jejak audit
10–15: DPO 😎 + CTA</t>
        </is>
      </c>
      <c r="K2" s="17" t="inlineStr">
        <is>
          <t>"FAAAH" (rekam ulang tim) di detik 4 · vine boom saat "tidak merespons" · musik drop saat Nexus muncul</t>
        </is>
      </c>
      <c r="L2" s="17" t="inlineStr">
        <is>
          <t>—</t>
        </is>
      </c>
      <c r="M2" s="17" t="inlineStr">
        <is>
          <t>RoPA</t>
        </is>
      </c>
      <c r="N2" s="17" t="inlineStr">
        <is>
          <t>Start Pre Check (gratis) di privasimu.com</t>
        </is>
      </c>
      <c r="O2" s="17" t="inlineStr">
        <is>
          <t>Register terpusat, kode ROPA-TAHUN-NOMOR, log audit (fakta_produk: ropa)</t>
        </is>
      </c>
      <c r="P2" s="15" t="n">
        <v>9</v>
      </c>
      <c r="Q2" s="15" t="n">
        <v>8</v>
      </c>
      <c r="R2" s="15" t="n">
        <v>7</v>
      </c>
      <c r="S2" s="15" t="n">
        <v>8</v>
      </c>
      <c r="T2" s="28">
        <f>ROUND(Q2*W_AW+R2*W_CV+S2*W_SH,1)</f>
        <v/>
      </c>
      <c r="U2" s="15">
        <f>ROUND((P2+S2)/2,1)</f>
        <v/>
      </c>
      <c r="V2" s="15">
        <f>RANK(T2,$T$2:$T$49)</f>
        <v/>
      </c>
      <c r="W2" s="17" t="inlineStr">
        <is>
          <t>Rendah</t>
        </is>
      </c>
      <c r="X2" s="17" t="inlineStr">
        <is>
          <t>Rendah. Jangan tampilkan logo/antarmuka spreadsheet bermerek</t>
        </is>
      </c>
      <c r="Y2" s="17" t="inlineStr">
        <is>
          <t>Bisa dibuat dari kit (varian N04)</t>
        </is>
      </c>
      <c r="Z2" s="17" t="inlineStr">
        <is>
          <t>Okt–Nov 2026</t>
        </is>
      </c>
      <c r="AA2" s="17">
        <f>T2+ROW()/100000</f>
        <v/>
      </c>
    </row>
    <row r="3" ht="120" customHeight="1">
      <c r="A3" s="9" t="inlineStr">
        <is>
          <t>A02</t>
        </is>
      </c>
      <c r="B3" s="14" t="inlineStr">
        <is>
          <t>Astaga, bercanda (Pak Bos edition)</t>
        </is>
      </c>
      <c r="C3" s="5" t="inlineStr">
        <is>
          <t>Chat + frasa viral "astaga, bercanda" (Agu–Sep 2026)</t>
        </is>
      </c>
      <c r="D3" s="5" t="inlineStr">
        <is>
          <t>Tools</t>
        </is>
      </c>
      <c r="E3" s="5" t="inlineStr">
        <is>
          <t>Awareness</t>
        </is>
      </c>
      <c r="F3" s="5" t="inlineStr">
        <is>
          <t>DPO, legal, pekerja kantoran</t>
        </is>
      </c>
      <c r="G3" s="5" t="inlineStr">
        <is>
          <t>TikTok/Reels 15 dtk</t>
        </is>
      </c>
      <c r="H3" s="5" t="inlineStr">
        <is>
          <t>Chat Pak Bos: "Kita sudah patuh UU PDP, kan?"</t>
        </is>
      </c>
      <c r="I3" s="9" t="inlineStr">
        <is>
          <t>Relate</t>
        </is>
      </c>
      <c r="J3" s="5" t="inlineStr">
        <is>
          <t>0–3: chat masuk
3–7: "Sudah dong, Pak. 100% ✅"
7–9: "astaga, bercanda 😭" + vine boom + 💀 "kita cooked"
9–15: skor GAP Assessment asli: "cek skor kepatuhan yang beneran" + CTA</t>
        </is>
      </c>
      <c r="K3" s="5" t="inlineStr">
        <is>
          <t>vine boom · ketikan · auraDown</t>
        </is>
      </c>
      <c r="L3" s="5" t="inlineStr">
        <is>
          <t>Pak Bos: "berat" ringan</t>
        </is>
      </c>
      <c r="M3" s="5" t="inlineStr">
        <is>
          <t>GAP Assessment</t>
        </is>
      </c>
      <c r="N3" s="5" t="inlineStr">
        <is>
          <t>Cek skor kepatuhan: Start Pre Check</t>
        </is>
      </c>
      <c r="O3" s="5" t="inlineStr">
        <is>
          <t>GAP: kuesioner, skor, rencana remediasi (fakta_produk: gap-assessment)</t>
        </is>
      </c>
      <c r="P3" s="9" t="n">
        <v>9</v>
      </c>
      <c r="Q3" s="9" t="n">
        <v>8</v>
      </c>
      <c r="R3" s="9" t="n">
        <v>7</v>
      </c>
      <c r="S3" s="9" t="n">
        <v>9</v>
      </c>
      <c r="T3" s="29">
        <f>ROUND(Q3*W_AW+R3*W_CV+S3*W_SH,1)</f>
        <v/>
      </c>
      <c r="U3" s="9">
        <f>ROUND((P3+S3)/2,1)</f>
        <v/>
      </c>
      <c r="V3" s="9">
        <f>RANK(T3,$T$2:$T$49)</f>
        <v/>
      </c>
      <c r="W3" s="5" t="inlineStr">
        <is>
          <t>Rendah</t>
        </is>
      </c>
      <c r="X3" s="5" t="inlineStr">
        <is>
          <t>Rendah</t>
        </is>
      </c>
      <c r="Y3" s="5" t="inlineStr">
        <is>
          <t>Sudah jadi (potongan N11)</t>
        </is>
      </c>
      <c r="Z3" s="5" t="inlineStr">
        <is>
          <t>Kapan saja</t>
        </is>
      </c>
      <c r="AA3" s="5">
        <f>T3+ROW()/100000</f>
        <v/>
      </c>
    </row>
    <row r="4" ht="120" customHeight="1">
      <c r="A4" s="15" t="inlineStr">
        <is>
          <t>A03</t>
        </is>
      </c>
      <c r="B4" s="16" t="inlineStr">
        <is>
          <t>Hal yang bisa kamu bilang ke auditor</t>
        </is>
      </c>
      <c r="C4" s="17" t="inlineStr">
        <is>
          <t>"Things to Say" (Agu–Sep 2026) + "adalah pokoknya"</t>
        </is>
      </c>
      <c r="D4" s="17" t="inlineStr">
        <is>
          <t>Edukasi + Tools</t>
        </is>
      </c>
      <c r="E4" s="17" t="inlineStr">
        <is>
          <t>Awareness + Share</t>
        </is>
      </c>
      <c r="F4" s="17" t="inlineStr">
        <is>
          <t>DPO, auditor internal</t>
        </is>
      </c>
      <c r="G4" s="17" t="inlineStr">
        <is>
          <t>TikTok/Reels 20 dtk</t>
        </is>
      </c>
      <c r="H4" s="17" t="inlineStr">
        <is>
          <t>"Hal yang bisa kamu bilang ke auditor:"</t>
        </is>
      </c>
      <c r="I4" s="15" t="inlineStr">
        <is>
          <t>Reverse psychology</t>
        </is>
      </c>
      <c r="J4" s="17" t="inlineStr">
        <is>
          <t>Daftar 3 jawaban konyol: KTP di grup kantor · RoPA di kepala saya · "adalah pokoknya"
→ tiap jawaban "+1 temuan" → stempel JANGAN DITIRU
→ jawaban yang benar ada di Nexus: register, DPIA, log audit</t>
        </is>
      </c>
      <c r="K4" s="17" t="inlineStr">
        <is>
          <t>vine boom per jawaban · stamp · phonk cowbell (synth)</t>
        </is>
      </c>
      <c r="L4" s="17" t="inlineStr">
        <is>
          <t>Narator "berat" (gaya sigma)</t>
        </is>
      </c>
      <c r="M4" s="17" t="inlineStr">
        <is>
          <t>RoPA, DPIA, log audit</t>
        </is>
      </c>
      <c r="N4" s="17" t="inlineStr">
        <is>
          <t>Simpan &amp; tag rekan tim</t>
        </is>
      </c>
      <c r="O4" s="17" t="inlineStr">
        <is>
          <t>Log audit &amp; register terpusat (fakta_produk)</t>
        </is>
      </c>
      <c r="P4" s="15" t="n">
        <v>8</v>
      </c>
      <c r="Q4" s="15" t="n">
        <v>8</v>
      </c>
      <c r="R4" s="15" t="n">
        <v>6</v>
      </c>
      <c r="S4" s="15" t="n">
        <v>9</v>
      </c>
      <c r="T4" s="28">
        <f>ROUND(Q4*W_AW+R4*W_CV+S4*W_SH,1)</f>
        <v/>
      </c>
      <c r="U4" s="15">
        <f>ROUND((P4+S4)/2,1)</f>
        <v/>
      </c>
      <c r="V4" s="15">
        <f>RANK(T4,$T$2:$T$49)</f>
        <v/>
      </c>
      <c r="W4" s="17" t="inlineStr">
        <is>
          <t>Rendah</t>
        </is>
      </c>
      <c r="X4" s="17" t="inlineStr">
        <is>
          <t>Rendah. Pastikan label "JANGAN DITIRU" jelas</t>
        </is>
      </c>
      <c r="Y4" s="17" t="inlineStr">
        <is>
          <t>Sudah jadi (potongan N11)</t>
        </is>
      </c>
      <c r="Z4" s="17" t="inlineStr">
        <is>
          <t>Kapan saja</t>
        </is>
      </c>
      <c r="AA4" s="17">
        <f>T4+ROW()/100000</f>
        <v/>
      </c>
    </row>
    <row r="5" ht="120" customHeight="1">
      <c r="A5" s="9" t="inlineStr">
        <is>
          <t>A04</t>
        </is>
      </c>
      <c r="B5" s="14" t="inlineStr">
        <is>
          <t>Orang have vs haven't vs not yet</t>
        </is>
      </c>
      <c r="C5" s="5" t="inlineStr">
        <is>
          <t>Istilah gaul "orang have/haven't/not yet" (Sep 2026)</t>
        </is>
      </c>
      <c r="D5" s="5" t="inlineStr">
        <is>
          <t>Tools</t>
        </is>
      </c>
      <c r="E5" s="5" t="inlineStr">
        <is>
          <t>Awareness + Share</t>
        </is>
      </c>
      <c r="F5" s="5" t="inlineStr">
        <is>
          <t>DPO, pekerja kantoran</t>
        </is>
      </c>
      <c r="G5" s="5" t="inlineStr">
        <is>
          <t>TikTok/Reels 12–15 dtk</t>
        </is>
      </c>
      <c r="H5" s="5" t="inlineStr">
        <is>
          <t>"Ada orang have…"</t>
        </is>
      </c>
      <c r="I5" s="9" t="inlineStr">
        <is>
          <t>Relate</t>
        </is>
      </c>
      <c r="J5" s="5" t="inlineStr">
        <is>
          <t>Template 3 panel: have (RoPA lengkap) / haven't (RoPA masih spreadsheet) / not yet (DPO 🫠)
→ "jadi orang have: pakai Nexus"</t>
        </is>
      </c>
      <c r="K5" s="5" t="inlineStr">
        <is>
          <t>vine boom · buzzer · auraDown</t>
        </is>
      </c>
      <c r="L5" s="5" t="inlineStr">
        <is>
          <t>—</t>
        </is>
      </c>
      <c r="M5" s="5" t="inlineStr">
        <is>
          <t>RoPA, DPIA</t>
        </is>
      </c>
      <c r="N5" s="5" t="inlineStr">
        <is>
          <t>Jadi orang have: privasimu.com</t>
        </is>
      </c>
      <c r="O5" s="5" t="inlineStr">
        <is>
          <t>—</t>
        </is>
      </c>
      <c r="P5" s="9" t="n">
        <v>9</v>
      </c>
      <c r="Q5" s="9" t="n">
        <v>9</v>
      </c>
      <c r="R5" s="9" t="n">
        <v>6</v>
      </c>
      <c r="S5" s="9" t="n">
        <v>8</v>
      </c>
      <c r="T5" s="29">
        <f>ROUND(Q5*W_AW+R5*W_CV+S5*W_SH,1)</f>
        <v/>
      </c>
      <c r="U5" s="9">
        <f>ROUND((P5+S5)/2,1)</f>
        <v/>
      </c>
      <c r="V5" s="9">
        <f>RANK(T5,$T$2:$T$49)</f>
        <v/>
      </c>
      <c r="W5" s="5" t="inlineStr">
        <is>
          <t>Rendah</t>
        </is>
      </c>
      <c r="X5" s="5" t="inlineStr">
        <is>
          <t>Rendah</t>
        </is>
      </c>
      <c r="Y5" s="5" t="inlineStr">
        <is>
          <t>Sudah jadi (potongan N11)</t>
        </is>
      </c>
      <c r="Z5" s="5" t="inlineStr">
        <is>
          <t>Okt 2026 (selagi tren)</t>
        </is>
      </c>
      <c r="AA5" s="5">
        <f>T5+ROW()/100000</f>
        <v/>
      </c>
    </row>
    <row r="6" ht="120" customHeight="1">
      <c r="A6" s="15" t="inlineStr">
        <is>
          <t>A05</t>
        </is>
      </c>
      <c r="B6" s="16" t="inlineStr">
        <is>
          <t>Borgol 3×24 jam yang kebesaran</t>
        </is>
      </c>
      <c r="C6" s="17" t="inlineStr">
        <is>
          <t>Borgol kebesaran yang gampang lepas (Sep 2026), digambar ulang</t>
        </is>
      </c>
      <c r="D6" s="17" t="inlineStr">
        <is>
          <t>Tools</t>
        </is>
      </c>
      <c r="E6" s="17" t="inlineStr">
        <is>
          <t>Awareness → Konversi</t>
        </is>
      </c>
      <c r="F6" s="17" t="inlineStr">
        <is>
          <t>DPO, IT security, CISO</t>
        </is>
      </c>
      <c r="G6" s="17" t="inlineStr">
        <is>
          <t>Reels/Shorts 15–20 dtk</t>
        </is>
      </c>
      <c r="H6" s="17" t="inlineStr">
        <is>
          <t>"Jam 3 pagi: dugaan kebocoran data."</t>
        </is>
      </c>
      <c r="I6" s="15" t="inlineStr">
        <is>
          <t>Anomali</t>
        </is>
      </c>
      <c r="J6" s="17" t="inlineStr">
        <is>
          <t>Layar kunci 03.00 → borgol raksasa "3 X 24 JAM" jatuh → "Tenang" borgol melorot
→ modul insiden asli: 5 fase, hitung mundur, templat pemberitahuan</t>
        </is>
      </c>
      <c r="K6" s="17" t="inlineStr">
        <is>
          <t>notifikasi · clank · slide whistle · "FAAAH" opsional saat borgol jatuh</t>
        </is>
      </c>
      <c r="L6" s="17" t="inlineStr">
        <is>
          <t>—</t>
        </is>
      </c>
      <c r="M6" s="17" t="inlineStr">
        <is>
          <t>Manajemen Insiden</t>
        </is>
      </c>
      <c r="N6" s="17" t="inlineStr">
        <is>
          <t>Latih tim sebelum insiden: minta demo</t>
        </is>
      </c>
      <c r="O6" s="17" t="inlineStr">
        <is>
          <t>UU PDP Ps. 46 jo. PP 33/2026 Ps. 114; fakta_produk: breach</t>
        </is>
      </c>
      <c r="P6" s="15" t="n">
        <v>8</v>
      </c>
      <c r="Q6" s="15" t="n">
        <v>7</v>
      </c>
      <c r="R6" s="15" t="n">
        <v>8</v>
      </c>
      <c r="S6" s="15" t="n">
        <v>7</v>
      </c>
      <c r="T6" s="28">
        <f>ROUND(Q6*W_AW+R6*W_CV+S6*W_SH,1)</f>
        <v/>
      </c>
      <c r="U6" s="15">
        <f>ROUND((P6+S6)/2,1)</f>
        <v/>
      </c>
      <c r="V6" s="15">
        <f>RANK(T6,$T$2:$T$49)</f>
        <v/>
      </c>
      <c r="W6" s="17" t="inlineStr">
        <is>
          <t>Rendah</t>
        </is>
      </c>
      <c r="X6" s="17" t="inlineStr">
        <is>
          <t>Rendah</t>
        </is>
      </c>
      <c r="Y6" s="17" t="inlineStr">
        <is>
          <t>Sudah jadi (potongan N11)</t>
        </is>
      </c>
      <c r="Z6" s="17" t="inlineStr">
        <is>
          <t>Nov 2026</t>
        </is>
      </c>
      <c r="AA6" s="17">
        <f>T6+ROW()/100000</f>
        <v/>
      </c>
    </row>
    <row r="7" ht="120" customHeight="1">
      <c r="A7" s="9" t="inlineStr">
        <is>
          <t>A06</t>
        </is>
      </c>
      <c r="B7" s="14" t="inlineStr">
        <is>
          <t>Polyester Edit: 1 DPO, semua modul</t>
        </is>
      </c>
      <c r="C7" s="5" t="inlineStr">
        <is>
          <t>"Polyester Edit" (Sep 2026)</t>
        </is>
      </c>
      <c r="D7" s="5" t="inlineStr">
        <is>
          <t>Tools</t>
        </is>
      </c>
      <c r="E7" s="5" t="inlineStr">
        <is>
          <t>Awareness</t>
        </is>
      </c>
      <c r="F7" s="5" t="inlineStr">
        <is>
          <t>DPO, IT, legal</t>
        </is>
      </c>
      <c r="G7" s="5" t="inlineStr">
        <is>
          <t>TikTok/Reels 10–12 dtk</t>
        </is>
      </c>
      <c r="H7" s="5" t="inlineStr">
        <is>
          <t>"Kalau DPO punya polyester edit:"</t>
        </is>
      </c>
      <c r="I7" s="9" t="inlineStr">
        <is>
          <t>Anomali</t>
        </is>
      </c>
      <c r="J7" s="5" t="inlineStr">
        <is>
          <t>DPO diam di depan, layar asli Nexus berganti liar di belakang → kolase "SEMUA NYAMBUNG"</t>
        </is>
      </c>
      <c r="K7" s="5" t="inlineStr">
        <is>
          <t>funk Brasil (synth) · hit per potongan · aura</t>
        </is>
      </c>
      <c r="L7" s="5" t="inlineStr">
        <is>
          <t>—</t>
        </is>
      </c>
      <c r="M7" s="5" t="inlineStr">
        <is>
          <t>Semua modul</t>
        </is>
      </c>
      <c r="N7" s="5" t="inlineStr">
        <is>
          <t>Lihat demonya</t>
        </is>
      </c>
      <c r="O7" s="5" t="inlineStr">
        <is>
          <t>Modul saling terhubung (fakta_produk: platform)</t>
        </is>
      </c>
      <c r="P7" s="9" t="n">
        <v>6</v>
      </c>
      <c r="Q7" s="9" t="n">
        <v>8</v>
      </c>
      <c r="R7" s="9" t="n">
        <v>7</v>
      </c>
      <c r="S7" s="9" t="n">
        <v>7</v>
      </c>
      <c r="T7" s="29">
        <f>ROUND(Q7*W_AW+R7*W_CV+S7*W_SH,1)</f>
        <v/>
      </c>
      <c r="U7" s="9">
        <f>ROUND((P7+S7)/2,1)</f>
        <v/>
      </c>
      <c r="V7" s="9">
        <f>RANK(T7,$T$2:$T$49)</f>
        <v/>
      </c>
      <c r="W7" s="5" t="inlineStr">
        <is>
          <t>Rendah</t>
        </is>
      </c>
      <c r="X7" s="5" t="inlineStr">
        <is>
          <t>Rendah</t>
        </is>
      </c>
      <c r="Y7" s="5" t="inlineStr">
        <is>
          <t>Sudah jadi (potongan N11)</t>
        </is>
      </c>
      <c r="Z7" s="5" t="inlineStr">
        <is>
          <t>Okt–Nov 2026</t>
        </is>
      </c>
      <c r="AA7" s="5">
        <f>T7+ROW()/100000</f>
        <v/>
      </c>
    </row>
    <row r="8" ht="120" customHeight="1">
      <c r="A8" s="15" t="inlineStr">
        <is>
          <t>A07</t>
        </is>
      </c>
      <c r="B8" s="16" t="inlineStr">
        <is>
          <t>Kinda chic to… (DPO edition)</t>
        </is>
      </c>
      <c r="C8" s="17" t="inlineStr">
        <is>
          <t>"Kinda chic to…" (tren caption Sep 2026)</t>
        </is>
      </c>
      <c r="D8" s="17" t="inlineStr">
        <is>
          <t>Tools / Brand</t>
        </is>
      </c>
      <c r="E8" s="17" t="inlineStr">
        <is>
          <t>Awareness (LinkedIn)</t>
        </is>
      </c>
      <c r="F8" s="17" t="inlineStr">
        <is>
          <t>DPO senior, compliance lead</t>
        </is>
      </c>
      <c r="G8" s="17" t="inlineStr">
        <is>
          <t>LinkedIn/Instagram 10–15 dtk</t>
        </is>
      </c>
      <c r="H8" s="17" t="inlineStr">
        <is>
          <t>"Kinda chic to… lapor insiden tepat waktu."</t>
        </is>
      </c>
      <c r="I8" s="15" t="inlineStr">
        <is>
          <t>Logika dipatahkan</t>
        </is>
      </c>
      <c r="J8" s="17" t="inlineStr">
        <is>
          <t>3–5 baris "kinda chic to…" + dasbor asli di laptop → CTA</t>
        </is>
      </c>
      <c r="K8" s="17" t="inlineStr">
        <is>
          <t>lo-fi · ding lembut</t>
        </is>
      </c>
      <c r="L8" s="17" t="inlineStr">
        <is>
          <t>—</t>
        </is>
      </c>
      <c r="M8" s="17" t="inlineStr">
        <is>
          <t>Dasbor, insiden, RoPA</t>
        </is>
      </c>
      <c r="N8" s="17" t="inlineStr">
        <is>
          <t>Kinda chic to be ready: privasimu.com</t>
        </is>
      </c>
      <c r="O8" s="17" t="inlineStr">
        <is>
          <t>PP 33/2026 berlaku 16 Jan 2027</t>
        </is>
      </c>
      <c r="P8" s="15" t="n">
        <v>7</v>
      </c>
      <c r="Q8" s="15" t="n">
        <v>7</v>
      </c>
      <c r="R8" s="15" t="n">
        <v>7</v>
      </c>
      <c r="S8" s="15" t="n">
        <v>8</v>
      </c>
      <c r="T8" s="28">
        <f>ROUND(Q8*W_AW+R8*W_CV+S8*W_SH,1)</f>
        <v/>
      </c>
      <c r="U8" s="15">
        <f>ROUND((P8+S8)/2,1)</f>
        <v/>
      </c>
      <c r="V8" s="15">
        <f>RANK(T8,$T$2:$T$49)</f>
        <v/>
      </c>
      <c r="W8" s="17" t="inlineStr">
        <is>
          <t>Rendah</t>
        </is>
      </c>
      <c r="X8" s="17" t="inlineStr">
        <is>
          <t>Rendah</t>
        </is>
      </c>
      <c r="Y8" s="17" t="inlineStr">
        <is>
          <t>Sudah jadi (potongan N11)</t>
        </is>
      </c>
      <c r="Z8" s="17" t="inlineStr">
        <is>
          <t>Nov–Des 2026</t>
        </is>
      </c>
      <c r="AA8" s="17">
        <f>T8+ROW()/100000</f>
        <v/>
      </c>
    </row>
    <row r="9" ht="120" customHeight="1">
      <c r="A9" s="9" t="inlineStr">
        <is>
          <t>A08</t>
        </is>
      </c>
      <c r="B9" s="14" t="inlineStr">
        <is>
          <t>EMOTIONAL DAMAGE: denda 2%</t>
        </is>
      </c>
      <c r="C9" s="5" t="inlineStr">
        <is>
          <t>Frasa "emotional damage" (direkam ulang tim, tanpa meniru logat/persona)</t>
        </is>
      </c>
      <c r="D9" s="5" t="inlineStr">
        <is>
          <t>Konsultasi + Tools</t>
        </is>
      </c>
      <c r="E9" s="5" t="inlineStr">
        <is>
          <t>Konversi</t>
        </is>
      </c>
      <c r="F9" s="5" t="inlineStr">
        <is>
          <t>Direksi, CFO</t>
        </is>
      </c>
      <c r="G9" s="5" t="inlineStr">
        <is>
          <t>Reels/LinkedIn 15 dtk</t>
        </is>
      </c>
      <c r="H9" s="5" t="inlineStr">
        <is>
          <t>"CFO membaca: denda administratif hingga 2% dari pendapatan tahunan"</t>
        </is>
      </c>
      <c r="I9" s="9" t="inlineStr">
        <is>
          <t>Anomali</t>
        </is>
      </c>
      <c r="J9" s="5" t="inlineStr">
        <is>
          <t>CFO 😳 → teriakan "EMOTIONAL DAMAGE!" + dun dun dun
→ Paparan Sanksi Nexus memetakan pasal bersanksi ke modul → CTA konsultasi</t>
        </is>
      </c>
      <c r="K9" s="5" t="inlineStr">
        <is>
          <t>rekaman tim "emotional damage" · dun dun dun</t>
        </is>
      </c>
      <c r="L9" s="5" t="inlineStr">
        <is>
          <t>Teks sanksi: "berat"</t>
        </is>
      </c>
      <c r="M9" s="5" t="inlineStr">
        <is>
          <t>Paparan Sanksi Administratif</t>
        </is>
      </c>
      <c r="N9" s="5" t="inlineStr">
        <is>
          <t>Jadwalkan konsultasi program siap PP 33</t>
        </is>
      </c>
      <c r="O9" s="5" t="inlineStr">
        <is>
          <t>UU PDP Ps. 57 (denda maks. 2% pendapatan tahunan); fakta_produk: paparan sanksi</t>
        </is>
      </c>
      <c r="P9" s="9" t="n">
        <v>7</v>
      </c>
      <c r="Q9" s="9" t="n">
        <v>8</v>
      </c>
      <c r="R9" s="9" t="n">
        <v>8</v>
      </c>
      <c r="S9" s="9" t="n">
        <v>7</v>
      </c>
      <c r="T9" s="29">
        <f>ROUND(Q9*W_AW+R9*W_CV+S9*W_SH,1)</f>
        <v/>
      </c>
      <c r="U9" s="9">
        <f>ROUND((P9+S9)/2,1)</f>
        <v/>
      </c>
      <c r="V9" s="9">
        <f>RANK(T9,$T$2:$T$49)</f>
        <v/>
      </c>
      <c r="W9" s="5" t="inlineStr">
        <is>
          <t>Sedang</t>
        </is>
      </c>
      <c r="X9" s="5" t="inlineStr">
        <is>
          <t>Sedang. Frasa populer milik kreator lain: rekam dengan suara sendiri, jangan tiru logat/etnis</t>
        </is>
      </c>
      <c r="Y9" s="5" t="inlineStr">
        <is>
          <t>Baru (kit)</t>
        </is>
      </c>
      <c r="Z9" s="5" t="inlineStr">
        <is>
          <t>Nov 2026 (musim anggaran)</t>
        </is>
      </c>
      <c r="AA9" s="5">
        <f>T9+ROW()/100000</f>
        <v/>
      </c>
    </row>
    <row r="10" ht="120" customHeight="1">
      <c r="A10" s="15" t="inlineStr">
        <is>
          <t>A09</t>
        </is>
      </c>
      <c r="B10" s="16" t="inlineStr">
        <is>
          <t>Nobody: / Marketing jam 5 sore</t>
        </is>
      </c>
      <c r="C10" s="17" t="inlineStr">
        <is>
          <t>"Nobody:" + reaksi "HAH?"</t>
        </is>
      </c>
      <c r="D10" s="17" t="inlineStr">
        <is>
          <t>Tools</t>
        </is>
      </c>
      <c r="E10" s="17" t="inlineStr">
        <is>
          <t>Awareness + Share</t>
        </is>
      </c>
      <c r="F10" s="17" t="inlineStr">
        <is>
          <t>Marketing, DPO</t>
        </is>
      </c>
      <c r="G10" s="17" t="inlineStr">
        <is>
          <t>TikTok/Reels 15 dtk</t>
        </is>
      </c>
      <c r="H10" s="17" t="inlineStr">
        <is>
          <t>"Nobody: / Marketing jam 5 sore: 'blast promo ke semua nomor di database ya!'"</t>
        </is>
      </c>
      <c r="I10" s="15" t="inlineStr">
        <is>
          <t>Relate</t>
        </is>
      </c>
      <c r="J10" s="17" t="inlineStr">
        <is>
          <t>DPO: "consent-nya ada?" → marketing: "consent itu apa?" → "HAH?"
→ Consent Nexus: log persetujuan + bukti, penarikan tersebar ke semua sistem</t>
        </is>
      </c>
      <c r="K10" s="17" t="inlineStr">
        <is>
          <t>"HAH?" (rekam tim) · vine boom · jangkrik</t>
        </is>
      </c>
      <c r="L10" s="17" t="inlineStr">
        <is>
          <t>—</t>
        </is>
      </c>
      <c r="M10" s="17" t="inlineStr">
        <is>
          <t>Consent &amp; Cookie</t>
        </is>
      </c>
      <c r="N10" s="17" t="inlineStr">
        <is>
          <t>Tag tim marketing kalian</t>
        </is>
      </c>
      <c r="O10" s="17" t="inlineStr">
        <is>
          <t>fakta_produk: consent (log + bukti, penarikan via API/webhook)</t>
        </is>
      </c>
      <c r="P10" s="15" t="n">
        <v>9</v>
      </c>
      <c r="Q10" s="15" t="n">
        <v>8</v>
      </c>
      <c r="R10" s="15" t="n">
        <v>7</v>
      </c>
      <c r="S10" s="15" t="n">
        <v>9</v>
      </c>
      <c r="T10" s="28">
        <f>ROUND(Q10*W_AW+R10*W_CV+S10*W_SH,1)</f>
        <v/>
      </c>
      <c r="U10" s="15">
        <f>ROUND((P10+S10)/2,1)</f>
        <v/>
      </c>
      <c r="V10" s="15">
        <f>RANK(T10,$T$2:$T$49)</f>
        <v/>
      </c>
      <c r="W10" s="17" t="inlineStr">
        <is>
          <t>Rendah</t>
        </is>
      </c>
      <c r="X10" s="17" t="inlineStr">
        <is>
          <t>Rendah. Jangan sebut merek aplikasi chat tertentu</t>
        </is>
      </c>
      <c r="Y10" s="17" t="inlineStr">
        <is>
          <t>Baru (kit, mirip N05)</t>
        </is>
      </c>
      <c r="Z10" s="17" t="inlineStr">
        <is>
          <t>Des 2026 (musim promo 12.12)</t>
        </is>
      </c>
      <c r="AA10" s="17">
        <f>T10+ROW()/100000</f>
        <v/>
      </c>
    </row>
    <row r="11" ht="120" customHeight="1">
      <c r="A11" s="9" t="inlineStr">
        <is>
          <t>A10</t>
        </is>
      </c>
      <c r="B11" s="14" t="inlineStr">
        <is>
          <t>Tolong hapus data saya → LARIII</t>
        </is>
      </c>
      <c r="C11" s="5" t="inlineStr">
        <is>
          <t>Panik "RUN" (rekam ulang: "LARIII!")</t>
        </is>
      </c>
      <c r="D11" s="5" t="inlineStr">
        <is>
          <t>Tools</t>
        </is>
      </c>
      <c r="E11" s="5" t="inlineStr">
        <is>
          <t>Awareness → Konversi</t>
        </is>
      </c>
      <c r="F11" s="5" t="inlineStr">
        <is>
          <t>Customer service, DPO</t>
        </is>
      </c>
      <c r="G11" s="5" t="inlineStr">
        <is>
          <t>Reels/Shorts 15 dtk</t>
        </is>
      </c>
      <c r="H11" s="5" t="inlineStr">
        <is>
          <t>Email masuk: "Tolong hapus data saya 🙏"</t>
        </is>
      </c>
      <c r="I11" s="9" t="inlineStr">
        <is>
          <t>Relate</t>
        </is>
      </c>
      <c r="J11" s="5" t="inlineStr">
        <is>
          <t>Seluruh kantor lari 🏃 "LARIII!" → DPO tenang buka DSR Nexus: tenggat 72 jam otomatis, verifikasi identitas, draf jawaban AI</t>
        </is>
      </c>
      <c r="K11" s="5" t="inlineStr">
        <is>
          <t>"LARIII!" (rekam tim) · whoosh · detak jam</t>
        </is>
      </c>
      <c r="L11" s="5" t="inlineStr">
        <is>
          <t>—</t>
        </is>
      </c>
      <c r="M11" s="5" t="inlineStr">
        <is>
          <t>DSR</t>
        </is>
      </c>
      <c r="N11" s="5" t="inlineStr">
        <is>
          <t>Coba alur DSR di demo</t>
        </is>
      </c>
      <c r="O11" s="5" t="inlineStr">
        <is>
          <t>fakta_produk: dsr (tenggat 72 jam, verifikasi, draf AI)</t>
        </is>
      </c>
      <c r="P11" s="9" t="n">
        <v>8</v>
      </c>
      <c r="Q11" s="9" t="n">
        <v>7</v>
      </c>
      <c r="R11" s="9" t="n">
        <v>8</v>
      </c>
      <c r="S11" s="9" t="n">
        <v>7</v>
      </c>
      <c r="T11" s="29">
        <f>ROUND(Q11*W_AW+R11*W_CV+S11*W_SH,1)</f>
        <v/>
      </c>
      <c r="U11" s="9">
        <f>ROUND((P11+S11)/2,1)</f>
        <v/>
      </c>
      <c r="V11" s="9">
        <f>RANK(T11,$T$2:$T$49)</f>
        <v/>
      </c>
      <c r="W11" s="5" t="inlineStr">
        <is>
          <t>Rendah</t>
        </is>
      </c>
      <c r="X11" s="5" t="inlineStr">
        <is>
          <t>Rendah</t>
        </is>
      </c>
      <c r="Y11" s="5" t="inlineStr">
        <is>
          <t>Bisa dari N05</t>
        </is>
      </c>
      <c r="Z11" s="5" t="inlineStr">
        <is>
          <t>Okt 2026</t>
        </is>
      </c>
      <c r="AA11" s="5">
        <f>T11+ROW()/100000</f>
        <v/>
      </c>
    </row>
    <row r="12" ht="120" customHeight="1">
      <c r="A12" s="15" t="inlineStr">
        <is>
          <t>A11</t>
        </is>
      </c>
      <c r="B12" s="16" t="inlineStr">
        <is>
          <t>HAH? Data pribadi spesifik itu apa?</t>
        </is>
      </c>
      <c r="C12" s="17" t="inlineStr">
        <is>
          <t>Reaksi "huh?"</t>
        </is>
      </c>
      <c r="D12" s="17" t="inlineStr">
        <is>
          <t>Edukasi + Tools</t>
        </is>
      </c>
      <c r="E12" s="17" t="inlineStr">
        <is>
          <t>Awareness</t>
        </is>
      </c>
      <c r="F12" s="17" t="inlineStr">
        <is>
          <t>Karyawan umum, HR</t>
        </is>
      </c>
      <c r="G12" s="17" t="inlineStr">
        <is>
          <t>Reels/Shorts 15 dtk</t>
        </is>
      </c>
      <c r="H12" s="17" t="inlineStr">
        <is>
          <t>"Data pribadi spesifik itu apa?" "HAH?"</t>
        </is>
      </c>
      <c r="I12" s="15" t="inlineStr">
        <is>
          <t>Relate</t>
        </is>
      </c>
      <c r="J12" s="17" t="inlineStr">
        <is>
          <t>Daftar cepat: kesehatan, biometrik, genetika, catatan kejahatan, data anak, keuangan pribadi
→ di Nexus: data spesifik otomatis risiko TINGGI + draf DPIA</t>
        </is>
      </c>
      <c r="K12" s="17" t="inlineStr">
        <is>
          <t>"HAH?" (rekam tim) · pop per item</t>
        </is>
      </c>
      <c r="L12" s="17" t="inlineStr">
        <is>
          <t>"HAH?" bisa pakai efek "tupai"</t>
        </is>
      </c>
      <c r="M12" s="17" t="inlineStr">
        <is>
          <t>RoPA → DPIA otomatis</t>
        </is>
      </c>
      <c r="N12" s="17" t="inlineStr">
        <is>
          <t>Simpan &amp; bagikan ke tim</t>
        </is>
      </c>
      <c r="O12" s="17" t="inlineStr">
        <is>
          <t>UU PDP Ps. 4 ayat (2); fakta_produk: ropa (spesifik → TINGGI → draf DPIA)</t>
        </is>
      </c>
      <c r="P12" s="15" t="n">
        <v>7</v>
      </c>
      <c r="Q12" s="15" t="n">
        <v>7</v>
      </c>
      <c r="R12" s="15" t="n">
        <v>6</v>
      </c>
      <c r="S12" s="15" t="n">
        <v>7</v>
      </c>
      <c r="T12" s="28">
        <f>ROUND(Q12*W_AW+R12*W_CV+S12*W_SH,1)</f>
        <v/>
      </c>
      <c r="U12" s="15">
        <f>ROUND((P12+S12)/2,1)</f>
        <v/>
      </c>
      <c r="V12" s="15">
        <f>RANK(T12,$T$2:$T$49)</f>
        <v/>
      </c>
      <c r="W12" s="17" t="inlineStr">
        <is>
          <t>Rendah</t>
        </is>
      </c>
      <c r="X12" s="17" t="inlineStr">
        <is>
          <t>Rendah</t>
        </is>
      </c>
      <c r="Y12" s="17" t="inlineStr">
        <is>
          <t>Baru (kit)</t>
        </is>
      </c>
      <c r="Z12" s="17" t="inlineStr">
        <is>
          <t>Kapan saja</t>
        </is>
      </c>
      <c r="AA12" s="17">
        <f>T12+ROW()/100000</f>
        <v/>
      </c>
    </row>
    <row r="13" ht="120" customHeight="1">
      <c r="A13" s="9" t="inlineStr">
        <is>
          <t>A12</t>
        </is>
      </c>
      <c r="B13" s="14" t="inlineStr">
        <is>
          <t>Tell me you're a DPO without telling me</t>
        </is>
      </c>
      <c r="C13" s="5" t="inlineStr">
        <is>
          <t>Format "tell me … without telling me"</t>
        </is>
      </c>
      <c r="D13" s="5" t="inlineStr">
        <is>
          <t>Brand / komunitas</t>
        </is>
      </c>
      <c r="E13" s="5" t="inlineStr">
        <is>
          <t>Share</t>
        </is>
      </c>
      <c r="F13" s="5" t="inlineStr">
        <is>
          <t>DPO, legal</t>
        </is>
      </c>
      <c r="G13" s="5" t="inlineStr">
        <is>
          <t>TikTok/Reels 10–15 dtk</t>
        </is>
      </c>
      <c r="H13" s="5" t="inlineStr">
        <is>
          <t>"Tell me you're a DPO without telling me"</t>
        </is>
      </c>
      <c r="I13" s="9" t="inlineStr">
        <is>
          <t>Relate</t>
        </is>
      </c>
      <c r="J13" s="5" t="inlineStr">
        <is>
          <t>4 kebiasaan: nyensor KTP di grup · nanya "dasar pemrosesannya apa?" · takut file FINAL_final · hafal "3×24 jam" → end card Nexus</t>
        </is>
      </c>
      <c r="K13" s="5" t="inlineStr">
        <is>
          <t>pop · vine boom di akhir</t>
        </is>
      </c>
      <c r="L13" s="5" t="inlineStr">
        <is>
          <t>—</t>
        </is>
      </c>
      <c r="M13" s="5" t="inlineStr">
        <is>
          <t>Brand</t>
        </is>
      </c>
      <c r="N13" s="5" t="inlineStr">
        <is>
          <t>Tag DPO kantormu 👇</t>
        </is>
      </c>
      <c r="O13" s="5" t="inlineStr">
        <is>
          <t>—</t>
        </is>
      </c>
      <c r="P13" s="9" t="n">
        <v>9</v>
      </c>
      <c r="Q13" s="9" t="n">
        <v>9</v>
      </c>
      <c r="R13" s="9" t="n">
        <v>4</v>
      </c>
      <c r="S13" s="9" t="n">
        <v>10</v>
      </c>
      <c r="T13" s="29">
        <f>ROUND(Q13*W_AW+R13*W_CV+S13*W_SH,1)</f>
        <v/>
      </c>
      <c r="U13" s="9">
        <f>ROUND((P13+S13)/2,1)</f>
        <v/>
      </c>
      <c r="V13" s="9">
        <f>RANK(T13,$T$2:$T$49)</f>
        <v/>
      </c>
      <c r="W13" s="5" t="inlineStr">
        <is>
          <t>Rendah</t>
        </is>
      </c>
      <c r="X13" s="5" t="inlineStr">
        <is>
          <t>Rendah</t>
        </is>
      </c>
      <c r="Y13" s="5" t="inlineStr">
        <is>
          <t>Baru (kit)</t>
        </is>
      </c>
      <c r="Z13" s="5" t="inlineStr">
        <is>
          <t>Okt 2026</t>
        </is>
      </c>
      <c r="AA13" s="5">
        <f>T13+ROW()/100000</f>
        <v/>
      </c>
    </row>
    <row r="14" ht="120" customHeight="1">
      <c r="A14" s="15" t="inlineStr">
        <is>
          <t>A13</t>
        </is>
      </c>
      <c r="B14" s="16" t="inlineStr">
        <is>
          <t>DPO Starter Pack</t>
        </is>
      </c>
      <c r="C14" s="17" t="inlineStr">
        <is>
          <t>Starter pack</t>
        </is>
      </c>
      <c r="D14" s="17" t="inlineStr">
        <is>
          <t>Brand / komunitas</t>
        </is>
      </c>
      <c r="E14" s="17" t="inlineStr">
        <is>
          <t>Share</t>
        </is>
      </c>
      <c r="F14" s="17" t="inlineStr">
        <is>
          <t>DPO baru</t>
        </is>
      </c>
      <c r="G14" s="17" t="inlineStr">
        <is>
          <t>Carousel IG/LinkedIn atau video 10 dtk</t>
        </is>
      </c>
      <c r="H14" s="17" t="inlineStr">
        <is>
          <t>"DPO starter pack (edisi 2026)"</t>
        </is>
      </c>
      <c r="I14" s="15" t="inlineStr">
        <is>
          <t>Relate</t>
        </is>
      </c>
      <c r="J14" s="17" t="inlineStr">
        <is>
          <t>Item: lanyard, kopi ke-4, 7 grup chat, spreadsheet RoPA, 225 pasal PP 33, mimpi buruk jam 3 pagi → "upgrade: Privasimu Nexus"</t>
        </is>
      </c>
      <c r="K14" s="17" t="inlineStr">
        <is>
          <t>pop per item · dun dun dun</t>
        </is>
      </c>
      <c r="L14" s="17" t="inlineStr">
        <is>
          <t>—</t>
        </is>
      </c>
      <c r="M14" s="17" t="inlineStr">
        <is>
          <t>Brand</t>
        </is>
      </c>
      <c r="N14" s="17" t="inlineStr">
        <is>
          <t>Tag DPO yang butuh upgrade</t>
        </is>
      </c>
      <c r="O14" s="17" t="inlineStr">
        <is>
          <t>PP 33/2026 = 225 pasal (knowledge base)</t>
        </is>
      </c>
      <c r="P14" s="15" t="n">
        <v>9</v>
      </c>
      <c r="Q14" s="15" t="n">
        <v>8</v>
      </c>
      <c r="R14" s="15" t="n">
        <v>5</v>
      </c>
      <c r="S14" s="15" t="n">
        <v>9</v>
      </c>
      <c r="T14" s="28">
        <f>ROUND(Q14*W_AW+R14*W_CV+S14*W_SH,1)</f>
        <v/>
      </c>
      <c r="U14" s="15">
        <f>ROUND((P14+S14)/2,1)</f>
        <v/>
      </c>
      <c r="V14" s="15">
        <f>RANK(T14,$T$2:$T$49)</f>
        <v/>
      </c>
      <c r="W14" s="17" t="inlineStr">
        <is>
          <t>Rendah</t>
        </is>
      </c>
      <c r="X14" s="17" t="inlineStr">
        <is>
          <t>Rendah</t>
        </is>
      </c>
      <c r="Y14" s="17" t="inlineStr">
        <is>
          <t>Baru</t>
        </is>
      </c>
      <c r="Z14" s="17" t="inlineStr">
        <is>
          <t>Kapan saja</t>
        </is>
      </c>
      <c r="AA14" s="17">
        <f>T14+ROW()/100000</f>
        <v/>
      </c>
    </row>
    <row r="15" ht="120" customHeight="1">
      <c r="A15" s="9" t="inlineStr">
        <is>
          <t>A14</t>
        </is>
      </c>
      <c r="B15" s="14" t="inlineStr">
        <is>
          <t>Ekspektasi vs realita jadi DPO</t>
        </is>
      </c>
      <c r="C15" s="5" t="inlineStr">
        <is>
          <t>Expectation vs reality</t>
        </is>
      </c>
      <c r="D15" s="5" t="inlineStr">
        <is>
          <t>Tools</t>
        </is>
      </c>
      <c r="E15" s="5" t="inlineStr">
        <is>
          <t>Awareness</t>
        </is>
      </c>
      <c r="F15" s="5" t="inlineStr">
        <is>
          <t>DPO baru</t>
        </is>
      </c>
      <c r="G15" s="5" t="inlineStr">
        <is>
          <t>TikTok/Reels 15 dtk</t>
        </is>
      </c>
      <c r="H15" s="5" t="inlineStr">
        <is>
          <t>"Ekspektasi jadi DPO:"</t>
        </is>
      </c>
      <c r="I15" s="9" t="inlineStr">
        <is>
          <t>Relate</t>
        </is>
      </c>
      <c r="J15" s="5" t="inlineStr">
        <is>
          <t>Ekspektasi: melindungi data dengan tenang 🧘 / realita: ngejar 12 divisi isi form + "FAAAH"
→ realita dengan Nexus: alur Maker–Reviewer–Approver + pengingat</t>
        </is>
      </c>
      <c r="K15" s="5" t="inlineStr">
        <is>
          <t>"FAAAH" (rekam tim) · sad violin (synth)</t>
        </is>
      </c>
      <c r="L15" s="5" t="inlineStr">
        <is>
          <t>—</t>
        </is>
      </c>
      <c r="M15" s="5" t="inlineStr">
        <is>
          <t>Alur RoPA</t>
        </is>
      </c>
      <c r="N15" s="5" t="inlineStr">
        <is>
          <t>privasimu.com</t>
        </is>
      </c>
      <c r="O15" s="5" t="inlineStr">
        <is>
          <t>fakta_produk: ropa (Maker, Reviewer, Approver)</t>
        </is>
      </c>
      <c r="P15" s="9" t="n">
        <v>9</v>
      </c>
      <c r="Q15" s="9" t="n">
        <v>8</v>
      </c>
      <c r="R15" s="9" t="n">
        <v>6</v>
      </c>
      <c r="S15" s="9" t="n">
        <v>8</v>
      </c>
      <c r="T15" s="29">
        <f>ROUND(Q15*W_AW+R15*W_CV+S15*W_SH,1)</f>
        <v/>
      </c>
      <c r="U15" s="9">
        <f>ROUND((P15+S15)/2,1)</f>
        <v/>
      </c>
      <c r="V15" s="9">
        <f>RANK(T15,$T$2:$T$49)</f>
        <v/>
      </c>
      <c r="W15" s="5" t="inlineStr">
        <is>
          <t>Rendah</t>
        </is>
      </c>
      <c r="X15" s="5" t="inlineStr">
        <is>
          <t>Rendah</t>
        </is>
      </c>
      <c r="Y15" s="5" t="inlineStr">
        <is>
          <t>Baru (kit meme "expect")</t>
        </is>
      </c>
      <c r="Z15" s="5" t="inlineStr">
        <is>
          <t>Kapan saja</t>
        </is>
      </c>
      <c r="AA15" s="5">
        <f>T15+ROW()/100000</f>
        <v/>
      </c>
    </row>
    <row r="16" ht="120" customHeight="1">
      <c r="A16" s="15" t="inlineStr">
        <is>
          <t>A15</t>
        </is>
      </c>
      <c r="B16" s="16" t="inlineStr">
        <is>
          <t>Red flag vs green flag pihak ketiga</t>
        </is>
      </c>
      <c r="C16" s="17" t="inlineStr">
        <is>
          <t>Red flag / green flag</t>
        </is>
      </c>
      <c r="D16" s="17" t="inlineStr">
        <is>
          <t>Tools</t>
        </is>
      </c>
      <c r="E16" s="17" t="inlineStr">
        <is>
          <t>Konversi</t>
        </is>
      </c>
      <c r="F16" s="17" t="inlineStr">
        <is>
          <t>Procurement, DPO</t>
        </is>
      </c>
      <c r="G16" s="17" t="inlineStr">
        <is>
          <t>Reels/LinkedIn 15–20 dtk</t>
        </is>
      </c>
      <c r="H16" s="17" t="inlineStr">
        <is>
          <t>"Red flag pihak ketiga 🚩"</t>
        </is>
      </c>
      <c r="I16" s="15" t="inlineStr">
        <is>
          <t>Logika dipatahkan</t>
        </is>
      </c>
      <c r="J16" s="17" t="inlineStr">
        <is>
          <t>🚩 tidak mau isi asesmen · 🚩 kirim NDA bukan perjanjian pemrosesan data · ✅ isi kuesioner lewat tautan tanpa akun · ✅ skor risiko otomatis → modul Pihak Ketiga</t>
        </is>
      </c>
      <c r="K16" s="17" t="inlineStr">
        <is>
          <t>buzzer · ding</t>
        </is>
      </c>
      <c r="L16" s="17" t="inlineStr">
        <is>
          <t>—</t>
        </is>
      </c>
      <c r="M16" s="17" t="inlineStr">
        <is>
          <t>Manajemen Risiko Pihak Ketiga, Telaah Kontrak</t>
        </is>
      </c>
      <c r="N16" s="17" t="inlineStr">
        <is>
          <t>Minta demo</t>
        </is>
      </c>
      <c r="O16" s="17" t="inlineStr">
        <is>
          <t>fakta_produk: pihak ketiga (tautan tanpa akun), telaah kontrak</t>
        </is>
      </c>
      <c r="P16" s="15" t="n">
        <v>7</v>
      </c>
      <c r="Q16" s="15" t="n">
        <v>7</v>
      </c>
      <c r="R16" s="15" t="n">
        <v>7</v>
      </c>
      <c r="S16" s="15" t="n">
        <v>7</v>
      </c>
      <c r="T16" s="28">
        <f>ROUND(Q16*W_AW+R16*W_CV+S16*W_SH,1)</f>
        <v/>
      </c>
      <c r="U16" s="15">
        <f>ROUND((P16+S16)/2,1)</f>
        <v/>
      </c>
      <c r="V16" s="15">
        <f>RANK(T16,$T$2:$T$49)</f>
        <v/>
      </c>
      <c r="W16" s="17" t="inlineStr">
        <is>
          <t>Rendah</t>
        </is>
      </c>
      <c r="X16" s="17" t="inlineStr">
        <is>
          <t>Rendah. Pakai istilah "pihak ketiga", bukan "vendor"</t>
        </is>
      </c>
      <c r="Y16" s="17" t="inlineStr">
        <is>
          <t>Baru</t>
        </is>
      </c>
      <c r="Z16" s="17" t="inlineStr">
        <is>
          <t>Nov 2026</t>
        </is>
      </c>
      <c r="AA16" s="17">
        <f>T16+ROW()/100000</f>
        <v/>
      </c>
    </row>
    <row r="17" ht="120" customHeight="1">
      <c r="A17" s="9" t="inlineStr">
        <is>
          <t>A16</t>
        </is>
      </c>
      <c r="B17" s="14" t="inlineStr">
        <is>
          <t>Mannequin challenge: auditor datang</t>
        </is>
      </c>
      <c r="C17" s="5" t="inlineStr">
        <is>
          <t>Kebangkitan meme 2016 (Mannequin Challenge)</t>
        </is>
      </c>
      <c r="D17" s="5" t="inlineStr">
        <is>
          <t>Tools</t>
        </is>
      </c>
      <c r="E17" s="5" t="inlineStr">
        <is>
          <t>Awareness + Share</t>
        </is>
      </c>
      <c r="F17" s="5" t="inlineStr">
        <is>
          <t>Seluruh kantor</t>
        </is>
      </c>
      <c r="G17" s="5" t="inlineStr">
        <is>
          <t>TikTok/Reels 20 dtk</t>
        </is>
      </c>
      <c r="H17" s="5" t="inlineStr">
        <is>
          <t>Auditor: "Boleh lihat bukti persetujuan?"</t>
        </is>
      </c>
      <c r="I17" s="9" t="inlineStr">
        <is>
          <t>Anomali</t>
        </is>
      </c>
      <c r="J17" s="5" t="inlineStr">
        <is>
          <t>Semua karyawan membeku, kamera berputar; hanya DPO bergerak membuka Nexus: log persetujuan + bukti</t>
        </is>
      </c>
      <c r="K17" s="5" t="inlineStr">
        <is>
          <t>musik ala 2016 (synth orisinal) · record scratch</t>
        </is>
      </c>
      <c r="L17" s="5" t="inlineStr">
        <is>
          <t>—</t>
        </is>
      </c>
      <c r="M17" s="5" t="inlineStr">
        <is>
          <t>Consent log, log audit</t>
        </is>
      </c>
      <c r="N17" s="5" t="inlineStr">
        <is>
          <t>Kalau di kantormu, siapa yang bergerak?</t>
        </is>
      </c>
      <c r="O17" s="5" t="inlineStr">
        <is>
          <t>fakta_produk: consent</t>
        </is>
      </c>
      <c r="P17" s="9" t="n">
        <v>7</v>
      </c>
      <c r="Q17" s="9" t="n">
        <v>8</v>
      </c>
      <c r="R17" s="9" t="n">
        <v>6</v>
      </c>
      <c r="S17" s="9" t="n">
        <v>8</v>
      </c>
      <c r="T17" s="29">
        <f>ROUND(Q17*W_AW+R17*W_CV+S17*W_SH,1)</f>
        <v/>
      </c>
      <c r="U17" s="9">
        <f>ROUND((P17+S17)/2,1)</f>
        <v/>
      </c>
      <c r="V17" s="9">
        <f>RANK(T17,$T$2:$T$49)</f>
        <v/>
      </c>
      <c r="W17" s="5" t="inlineStr">
        <is>
          <t>Sedang (live-action tim/animasi)</t>
        </is>
      </c>
      <c r="X17" s="5" t="inlineStr">
        <is>
          <t>Rendah. Karyawan yang tampil wajib memberi persetujuan tertulis</t>
        </is>
      </c>
      <c r="Y17" s="5" t="inlineStr">
        <is>
          <t>Baru</t>
        </is>
      </c>
      <c r="Z17" s="5" t="inlineStr">
        <is>
          <t>Okt–Nov 2026</t>
        </is>
      </c>
      <c r="AA17" s="5">
        <f>T17+ROW()/100000</f>
        <v/>
      </c>
    </row>
    <row r="18" ht="120" customHeight="1">
      <c r="A18" s="15" t="inlineStr">
        <is>
          <t>A17</t>
        </is>
      </c>
      <c r="B18" s="16" t="inlineStr">
        <is>
          <t>2016 vs 2026: DPO edition</t>
        </is>
      </c>
      <c r="C18" s="17" t="inlineStr">
        <is>
          <t>"2026 is the new 2016"</t>
        </is>
      </c>
      <c r="D18" s="17" t="inlineStr">
        <is>
          <t>Brand</t>
        </is>
      </c>
      <c r="E18" s="17" t="inlineStr">
        <is>
          <t>Awareness + Share</t>
        </is>
      </c>
      <c r="F18" s="17" t="inlineStr">
        <is>
          <t>Pekerja 25–40 th</t>
        </is>
      </c>
      <c r="G18" s="17" t="inlineStr">
        <is>
          <t>TikTok/Reels 15 dtk</t>
        </is>
      </c>
      <c r="H18" s="17" t="inlineStr">
        <is>
          <t>"2016: data pelanggan disimpan di flashdisk"</t>
        </is>
      </c>
      <c r="I18" s="15" t="inlineStr">
        <is>
          <t>Anomali</t>
        </is>
      </c>
      <c r="J18" s="17" t="inlineStr">
        <is>
          <t>2016 (filter jadul): flashdisk, spreadsheet, password di sticky note
→ 2026: Nexus, log audit berantai hash, DSR 72 jam → "yang balik ke 2016 cukup memenya"</t>
        </is>
      </c>
      <c r="K18" s="17" t="inlineStr">
        <is>
          <t>rewind VHS · shutter</t>
        </is>
      </c>
      <c r="L18" s="17" t="inlineStr">
        <is>
          <t>Narasi 2016: efek "telepon"</t>
        </is>
      </c>
      <c r="M18" s="17" t="inlineStr">
        <is>
          <t>Platform</t>
        </is>
      </c>
      <c r="N18" s="17" t="inlineStr">
        <is>
          <t>privasimu.com</t>
        </is>
      </c>
      <c r="O18" s="17" t="inlineStr">
        <is>
          <t>fakta_produk: platform (log audit hash opsional)</t>
        </is>
      </c>
      <c r="P18" s="15" t="n">
        <v>7</v>
      </c>
      <c r="Q18" s="15" t="n">
        <v>8</v>
      </c>
      <c r="R18" s="15" t="n">
        <v>5</v>
      </c>
      <c r="S18" s="15" t="n">
        <v>8</v>
      </c>
      <c r="T18" s="28">
        <f>ROUND(Q18*W_AW+R18*W_CV+S18*W_SH,1)</f>
        <v/>
      </c>
      <c r="U18" s="15">
        <f>ROUND((P18+S18)/2,1)</f>
        <v/>
      </c>
      <c r="V18" s="15">
        <f>RANK(T18,$T$2:$T$49)</f>
        <v/>
      </c>
      <c r="W18" s="17" t="inlineStr">
        <is>
          <t>Rendah</t>
        </is>
      </c>
      <c r="X18" s="17" t="inlineStr">
        <is>
          <t>Rendah</t>
        </is>
      </c>
      <c r="Y18" s="17" t="inlineStr">
        <is>
          <t>Baru</t>
        </is>
      </c>
      <c r="Z18" s="17" t="inlineStr">
        <is>
          <t>Okt 2026</t>
        </is>
      </c>
      <c r="AA18" s="17">
        <f>T18+ROW()/100000</f>
        <v/>
      </c>
    </row>
    <row r="19" ht="120" customHeight="1">
      <c r="A19" s="9" t="inlineStr">
        <is>
          <t>A18</t>
        </is>
      </c>
      <c r="B19" s="14" t="inlineStr">
        <is>
          <t>Anomali: "Bocorino Datalino"</t>
        </is>
      </c>
      <c r="C19" s="5" t="inlineStr">
        <is>
          <t>Brainrot/anomali (canon 2026), karakter orisinal</t>
        </is>
      </c>
      <c r="D19" s="5" t="inlineStr">
        <is>
          <t>Brand</t>
        </is>
      </c>
      <c r="E19" s="5" t="inlineStr">
        <is>
          <t>Awareness (Gen Z)</t>
        </is>
      </c>
      <c r="F19" s="5" t="inlineStr">
        <is>
          <t>Gen Z pekerja, mahasiswa hukum/IT</t>
        </is>
      </c>
      <c r="G19" s="5" t="inlineStr">
        <is>
          <t>TikTok 15 dtk</t>
        </is>
      </c>
      <c r="H19" s="5" t="inlineStr">
        <is>
          <t>"Bocorino Datalino… anomali yang membocorkan data tiap Senin"</t>
        </is>
      </c>
      <c r="I19" s="9" t="inlineStr">
        <is>
          <t>Anomali</t>
        </is>
      </c>
      <c r="J19" s="5" t="inlineStr">
        <is>
          <t>Karakter orisinal (keran bocor berkaki) dinarasikan ala brainrot → dikalahkan maskot Nexus → tagline</t>
        </is>
      </c>
      <c r="K19" s="5" t="inlineStr">
        <is>
          <t>narator dramatis · dun dun dun</t>
        </is>
      </c>
      <c r="L19" s="5" t="inlineStr">
        <is>
          <t>Narator "berat" + "aula"</t>
        </is>
      </c>
      <c r="M19" s="5" t="inlineStr">
        <is>
          <t>Brand</t>
        </is>
      </c>
      <c r="N19" s="5" t="inlineStr">
        <is>
          <t>Sebutkan anomali versi kantormu</t>
        </is>
      </c>
      <c r="O19" s="5" t="inlineStr">
        <is>
          <t>—</t>
        </is>
      </c>
      <c r="P19" s="9" t="n">
        <v>6</v>
      </c>
      <c r="Q19" s="9" t="n">
        <v>9</v>
      </c>
      <c r="R19" s="9" t="n">
        <v>4</v>
      </c>
      <c r="S19" s="9" t="n">
        <v>8</v>
      </c>
      <c r="T19" s="29">
        <f>ROUND(Q19*W_AW+R19*W_CV+S19*W_SH,1)</f>
        <v/>
      </c>
      <c r="U19" s="9">
        <f>ROUND((P19+S19)/2,1)</f>
        <v/>
      </c>
      <c r="V19" s="9">
        <f>RANK(T19,$T$2:$T$49)</f>
        <v/>
      </c>
      <c r="W19" s="5" t="inlineStr">
        <is>
          <t>Sedang (ilustrasi karakter)</t>
        </is>
      </c>
      <c r="X19" s="5" t="inlineStr">
        <is>
          <t>Sedang. Bisa terasa cringe; uji kecil dulu</t>
        </is>
      </c>
      <c r="Y19" s="5" t="inlineStr">
        <is>
          <t>Baru</t>
        </is>
      </c>
      <c r="Z19" s="5" t="inlineStr">
        <is>
          <t>Okt 2026</t>
        </is>
      </c>
      <c r="AA19" s="5">
        <f>T19+ROW()/100000</f>
        <v/>
      </c>
    </row>
    <row r="20" ht="120" customHeight="1">
      <c r="A20" s="15" t="inlineStr">
        <is>
          <t>A19</t>
        </is>
      </c>
      <c r="B20" s="16" t="inlineStr">
        <is>
          <t>Rating kebiasaan data kantor 1–10</t>
        </is>
      </c>
      <c r="C20" s="17" t="inlineStr">
        <is>
          <t>Format rating</t>
        </is>
      </c>
      <c r="D20" s="17" t="inlineStr">
        <is>
          <t>Edukasi</t>
        </is>
      </c>
      <c r="E20" s="17" t="inlineStr">
        <is>
          <t>Awareness + Share</t>
        </is>
      </c>
      <c r="F20" s="17" t="inlineStr">
        <is>
          <t>Karyawan umum</t>
        </is>
      </c>
      <c r="G20" s="17" t="inlineStr">
        <is>
          <t>TikTok/Reels 20 dtk</t>
        </is>
      </c>
      <c r="H20" s="17" t="inlineStr">
        <is>
          <t>"Rating kebiasaan data di kantor, jujur:"</t>
        </is>
      </c>
      <c r="I20" s="15" t="inlineStr">
        <is>
          <t>Relate</t>
        </is>
      </c>
      <c r="J20" s="17" t="inlineStr">
        <is>
          <t>Password di sticky note 1/10 "FAAAH" · kirim KTP via grup 2/10 · RoPA terpusat 10/10 (Nexus)</t>
        </is>
      </c>
      <c r="K20" s="17" t="inlineStr">
        <is>
          <t>"FAAAH" (rekam tim) · ding</t>
        </is>
      </c>
      <c r="L20" s="17" t="inlineStr">
        <is>
          <t>—</t>
        </is>
      </c>
      <c r="M20" s="17" t="inlineStr">
        <is>
          <t>RoPA, pelatihan</t>
        </is>
      </c>
      <c r="N20" s="17" t="inlineStr">
        <is>
          <t>Kantormu dapat skor berapa?</t>
        </is>
      </c>
      <c r="O20" s="17" t="inlineStr">
        <is>
          <t>—</t>
        </is>
      </c>
      <c r="P20" s="15" t="n">
        <v>8</v>
      </c>
      <c r="Q20" s="15" t="n">
        <v>7</v>
      </c>
      <c r="R20" s="15" t="n">
        <v>6</v>
      </c>
      <c r="S20" s="15" t="n">
        <v>8</v>
      </c>
      <c r="T20" s="28">
        <f>ROUND(Q20*W_AW+R20*W_CV+S20*W_SH,1)</f>
        <v/>
      </c>
      <c r="U20" s="15">
        <f>ROUND((P20+S20)/2,1)</f>
        <v/>
      </c>
      <c r="V20" s="15">
        <f>RANK(T20,$T$2:$T$49)</f>
        <v/>
      </c>
      <c r="W20" s="17" t="inlineStr">
        <is>
          <t>Rendah</t>
        </is>
      </c>
      <c r="X20" s="17" t="inlineStr">
        <is>
          <t>Rendah</t>
        </is>
      </c>
      <c r="Y20" s="17" t="inlineStr">
        <is>
          <t>Baru</t>
        </is>
      </c>
      <c r="Z20" s="17" t="inlineStr">
        <is>
          <t>Kapan saja</t>
        </is>
      </c>
      <c r="AA20" s="17">
        <f>T20+ROW()/100000</f>
        <v/>
      </c>
    </row>
    <row r="21" ht="120" customHeight="1">
      <c r="A21" s="9" t="inlineStr">
        <is>
          <t>A20</t>
        </is>
      </c>
      <c r="B21" s="14" t="inlineStr">
        <is>
          <t>GRWM: DPO siap-siap audit</t>
        </is>
      </c>
      <c r="C21" s="5" t="inlineStr">
        <is>
          <t>Get Ready With Me</t>
        </is>
      </c>
      <c r="D21" s="5" t="inlineStr">
        <is>
          <t>Tools</t>
        </is>
      </c>
      <c r="E21" s="5" t="inlineStr">
        <is>
          <t>Awareness</t>
        </is>
      </c>
      <c r="F21" s="5" t="inlineStr">
        <is>
          <t>DPO muda</t>
        </is>
      </c>
      <c r="G21" s="5" t="inlineStr">
        <is>
          <t>TikTok/Reels 20–30 dtk</t>
        </is>
      </c>
      <c r="H21" s="5" t="inlineStr">
        <is>
          <t>"Get ready with me: hari audit"</t>
        </is>
      </c>
      <c r="I21" s="9" t="inlineStr">
        <is>
          <t>Anomali</t>
        </is>
      </c>
      <c r="J21" s="5" t="inlineStr">
        <is>
          <t>"Skincare" = cek dasbor kepatuhan · "outfit" = laporan GAP · "aksesori" = log audit berantai hash · "parfum" = tenang</t>
        </is>
      </c>
      <c r="K21" s="5" t="inlineStr">
        <is>
          <t>ASMR klik · lo-fi</t>
        </is>
      </c>
      <c r="L21" s="5" t="inlineStr">
        <is>
          <t>Efek "bisik" (ASMR)</t>
        </is>
      </c>
      <c r="M21" s="5" t="inlineStr">
        <is>
          <t>Dasbor, GAP, log audit</t>
        </is>
      </c>
      <c r="N21" s="5" t="inlineStr">
        <is>
          <t>privasimu.com</t>
        </is>
      </c>
      <c r="O21" s="5" t="inlineStr">
        <is>
          <t>fakta_produk: platform</t>
        </is>
      </c>
      <c r="P21" s="9" t="n">
        <v>7</v>
      </c>
      <c r="Q21" s="9" t="n">
        <v>8</v>
      </c>
      <c r="R21" s="9" t="n">
        <v>7</v>
      </c>
      <c r="S21" s="9" t="n">
        <v>7</v>
      </c>
      <c r="T21" s="29">
        <f>ROUND(Q21*W_AW+R21*W_CV+S21*W_SH,1)</f>
        <v/>
      </c>
      <c r="U21" s="9">
        <f>ROUND((P21+S21)/2,1)</f>
        <v/>
      </c>
      <c r="V21" s="9">
        <f>RANK(T21,$T$2:$T$49)</f>
        <v/>
      </c>
      <c r="W21" s="5" t="inlineStr">
        <is>
          <t>Sedang</t>
        </is>
      </c>
      <c r="X21" s="5" t="inlineStr">
        <is>
          <t>Rendah</t>
        </is>
      </c>
      <c r="Y21" s="5" t="inlineStr">
        <is>
          <t>Baru</t>
        </is>
      </c>
      <c r="Z21" s="5" t="inlineStr">
        <is>
          <t>Nov 2026</t>
        </is>
      </c>
      <c r="AA21" s="5">
        <f>T21+ROW()/100000</f>
        <v/>
      </c>
    </row>
    <row r="22" ht="120" customHeight="1">
      <c r="A22" s="15" t="inlineStr">
        <is>
          <t>A21</t>
        </is>
      </c>
      <c r="B22" s="16" t="inlineStr">
        <is>
          <t>Day in the life of a DPO (versi jujur)</t>
        </is>
      </c>
      <c r="C22" s="17" t="inlineStr">
        <is>
          <t>Day in the life</t>
        </is>
      </c>
      <c r="D22" s="17" t="inlineStr">
        <is>
          <t>Tools</t>
        </is>
      </c>
      <c r="E22" s="17" t="inlineStr">
        <is>
          <t>Awareness → Konversi</t>
        </is>
      </c>
      <c r="F22" s="17" t="inlineStr">
        <is>
          <t>DPO</t>
        </is>
      </c>
      <c r="G22" s="17" t="inlineStr">
        <is>
          <t>TikTok/Reels/Shorts 30 dtk</t>
        </is>
      </c>
      <c r="H22" s="17" t="inlineStr">
        <is>
          <t>"Day in the life of a DPO (versi jujur)"</t>
        </is>
      </c>
      <c r="I22" s="15" t="inlineStr">
        <is>
          <t>Relate</t>
        </is>
      </c>
      <c r="J22" s="17" t="inlineStr">
        <is>
          <t>07.00 12 notif DSR · 09.00 rapat "data pribadi itu apa" · 13.00 pihak ketiga kirim NDA · 03.00 dugaan insiden "FAAAH"
→ versi Nexus: semua di satu antrean kerja</t>
        </is>
      </c>
      <c r="K22" s="17" t="inlineStr">
        <is>
          <t>"FAAAH" (rekam tim) · detak jam · notifikasi</t>
        </is>
      </c>
      <c r="L22" s="17" t="inlineStr">
        <is>
          <t>—</t>
        </is>
      </c>
      <c r="M22" s="17" t="inlineStr">
        <is>
          <t>Antrean kerja PPDP, DSR, insiden</t>
        </is>
      </c>
      <c r="N22" s="17" t="inlineStr">
        <is>
          <t>Minta demo</t>
        </is>
      </c>
      <c r="O22" s="17" t="inlineStr">
        <is>
          <t>fakta_produk: dukungan PPDP (antrean pekerjaan)</t>
        </is>
      </c>
      <c r="P22" s="15" t="n">
        <v>9</v>
      </c>
      <c r="Q22" s="15" t="n">
        <v>8</v>
      </c>
      <c r="R22" s="15" t="n">
        <v>7</v>
      </c>
      <c r="S22" s="15" t="n">
        <v>8</v>
      </c>
      <c r="T22" s="28">
        <f>ROUND(Q22*W_AW+R22*W_CV+S22*W_SH,1)</f>
        <v/>
      </c>
      <c r="U22" s="15">
        <f>ROUND((P22+S22)/2,1)</f>
        <v/>
      </c>
      <c r="V22" s="15">
        <f>RANK(T22,$T$2:$T$49)</f>
        <v/>
      </c>
      <c r="W22" s="17" t="inlineStr">
        <is>
          <t>Sedang</t>
        </is>
      </c>
      <c r="X22" s="17" t="inlineStr">
        <is>
          <t>Rendah</t>
        </is>
      </c>
      <c r="Y22" s="17" t="inlineStr">
        <is>
          <t>Baru</t>
        </is>
      </c>
      <c r="Z22" s="17" t="inlineStr">
        <is>
          <t>Okt–Nov 2026</t>
        </is>
      </c>
      <c r="AA22" s="17">
        <f>T22+ROW()/100000</f>
        <v/>
      </c>
    </row>
    <row r="23" ht="120" customHeight="1">
      <c r="A23" s="9" t="inlineStr">
        <is>
          <t>A22</t>
        </is>
      </c>
      <c r="B23" s="14" t="inlineStr">
        <is>
          <t>Rekap Tahunan DPO 2026</t>
        </is>
      </c>
      <c r="C23" s="5" t="inlineStr">
        <is>
          <t>Year-in-review Desember (ala "Wrapped", tanpa meniru merek)</t>
        </is>
      </c>
      <c r="D23" s="5" t="inlineStr">
        <is>
          <t>Brand</t>
        </is>
      </c>
      <c r="E23" s="5" t="inlineStr">
        <is>
          <t>Share</t>
        </is>
      </c>
      <c r="F23" s="5" t="inlineStr">
        <is>
          <t>DPO, legal</t>
        </is>
      </c>
      <c r="G23" s="5" t="inlineStr">
        <is>
          <t>IG/TikTok slide 15–20 dtk</t>
        </is>
      </c>
      <c r="H23" s="5" t="inlineStr">
        <is>
          <t>"Rekap tahunan DPO 2026 kamu sudah siap"</t>
        </is>
      </c>
      <c r="I23" s="9" t="inlineStr">
        <is>
          <t>Relate</t>
        </is>
      </c>
      <c r="J23" s="5" t="inlineStr">
        <is>
          <t>Top "lagu": "Tolong isi form-nya" · menit di rapat: 12.480 · file favorit: FINAL_final_v3 · 2027: PP 33 berlaku → "bikin rekap 2027 lebih rapi"</t>
        </is>
      </c>
      <c r="K23" s="5" t="inlineStr">
        <is>
          <t>shimmer · pop</t>
        </is>
      </c>
      <c r="L23" s="5" t="inlineStr">
        <is>
          <t>—</t>
        </is>
      </c>
      <c r="M23" s="5" t="inlineStr">
        <is>
          <t>Brand + PP 33</t>
        </is>
      </c>
      <c r="N23" s="5" t="inlineStr">
        <is>
          <t>Bagikan rekapmu</t>
        </is>
      </c>
      <c r="O23" s="5" t="inlineStr">
        <is>
          <t>PP 33/2026 berlaku 16 Jan 2027 (angka lain ilustrasi)</t>
        </is>
      </c>
      <c r="P23" s="9" t="n">
        <v>9</v>
      </c>
      <c r="Q23" s="9" t="n">
        <v>9</v>
      </c>
      <c r="R23" s="9" t="n">
        <v>6</v>
      </c>
      <c r="S23" s="9" t="n">
        <v>10</v>
      </c>
      <c r="T23" s="29">
        <f>ROUND(Q23*W_AW+R23*W_CV+S23*W_SH,1)</f>
        <v/>
      </c>
      <c r="U23" s="9">
        <f>ROUND((P23+S23)/2,1)</f>
        <v/>
      </c>
      <c r="V23" s="9">
        <f>RANK(T23,$T$2:$T$49)</f>
        <v/>
      </c>
      <c r="W23" s="5" t="inlineStr">
        <is>
          <t>Rendah</t>
        </is>
      </c>
      <c r="X23" s="5" t="inlineStr">
        <is>
          <t>Sedang. Jangan tiru warna/font/logo layanan musik tertentu</t>
        </is>
      </c>
      <c r="Y23" s="5" t="inlineStr">
        <is>
          <t>Baru</t>
        </is>
      </c>
      <c r="Z23" s="5" t="inlineStr">
        <is>
          <t>Des 2026 (minggu 1–3)</t>
        </is>
      </c>
      <c r="AA23" s="5">
        <f>T23+ROW()/100000</f>
        <v/>
      </c>
    </row>
    <row r="24" ht="120" customHeight="1">
      <c r="A24" s="15" t="inlineStr">
        <is>
          <t>A23</t>
        </is>
      </c>
      <c r="B24" s="16" t="inlineStr">
        <is>
          <t>Hitung mundur PP 33 (serial)</t>
        </is>
      </c>
      <c r="C24" s="17" t="inlineStr">
        <is>
          <t>Countdown serial</t>
        </is>
      </c>
      <c r="D24" s="17" t="inlineStr">
        <is>
          <t>Tools / Konsultasi</t>
        </is>
      </c>
      <c r="E24" s="17" t="inlineStr">
        <is>
          <t>Konversi</t>
        </is>
      </c>
      <c r="F24" s="17" t="inlineStr">
        <is>
          <t>Direksi, DPO</t>
        </is>
      </c>
      <c r="G24" s="17" t="inlineStr">
        <is>
          <t>Stories/Reels 10 dtk per episode</t>
        </is>
      </c>
      <c r="H24" s="17" t="inlineStr">
        <is>
          <t>"X hari lagi PP 33 berlaku"</t>
        </is>
      </c>
      <c r="I24" s="15" t="inlineStr">
        <is>
          <t>Anomali</t>
        </is>
      </c>
      <c r="J24" s="17" t="inlineStr">
        <is>
          <t>Tiap episode: 1 meme + 1 kewajiban + CTA</t>
        </is>
      </c>
      <c r="K24" s="17" t="inlineStr">
        <is>
          <t>flip clock</t>
        </is>
      </c>
      <c r="L24" s="17" t="inlineStr">
        <is>
          <t>—</t>
        </is>
      </c>
      <c r="M24" s="17" t="inlineStr">
        <is>
          <t>Paparan Sanksi, GAP</t>
        </is>
      </c>
      <c r="N24" s="17" t="inlineStr">
        <is>
          <t>Program siap PP 33</t>
        </is>
      </c>
      <c r="O24" s="17" t="inlineStr">
        <is>
          <t>PP 33/2026 berlaku 16 Jan 2027; 225 pasal</t>
        </is>
      </c>
      <c r="P24" s="15" t="n">
        <v>7</v>
      </c>
      <c r="Q24" s="15" t="n">
        <v>7</v>
      </c>
      <c r="R24" s="15" t="n">
        <v>8</v>
      </c>
      <c r="S24" s="15" t="n">
        <v>6</v>
      </c>
      <c r="T24" s="28">
        <f>ROUND(Q24*W_AW+R24*W_CV+S24*W_SH,1)</f>
        <v/>
      </c>
      <c r="U24" s="15">
        <f>ROUND((P24+S24)/2,1)</f>
        <v/>
      </c>
      <c r="V24" s="15">
        <f>RANK(T24,$T$2:$T$49)</f>
        <v/>
      </c>
      <c r="W24" s="17" t="inlineStr">
        <is>
          <t>Rendah</t>
        </is>
      </c>
      <c r="X24" s="17" t="inlineStr">
        <is>
          <t>Rendah</t>
        </is>
      </c>
      <c r="Y24" s="17" t="inlineStr">
        <is>
          <t>Bisa dari N01</t>
        </is>
      </c>
      <c r="Z24" s="17" t="inlineStr">
        <is>
          <t>Des 2026–Jan 2027</t>
        </is>
      </c>
      <c r="AA24" s="17">
        <f>T24+ROW()/100000</f>
        <v/>
      </c>
    </row>
    <row r="25" ht="120" customHeight="1">
      <c r="A25" s="9" t="inlineStr">
        <is>
          <t>A24</t>
        </is>
      </c>
      <c r="B25" s="14" t="inlineStr">
        <is>
          <t>Resolusi 2027: patuh PP 33</t>
        </is>
      </c>
      <c r="C25" s="5" t="inlineStr">
        <is>
          <t>New year resolution</t>
        </is>
      </c>
      <c r="D25" s="5" t="inlineStr">
        <is>
          <t>Tools</t>
        </is>
      </c>
      <c r="E25" s="5" t="inlineStr">
        <is>
          <t>Awareness + Konversi</t>
        </is>
      </c>
      <c r="F25" s="5" t="inlineStr">
        <is>
          <t>Semua</t>
        </is>
      </c>
      <c r="G25" s="5" t="inlineStr">
        <is>
          <t>TikTok/Reels 15 dtk</t>
        </is>
      </c>
      <c r="H25" s="5" t="inlineStr">
        <is>
          <t>"Resolusi 2027:"</t>
        </is>
      </c>
      <c r="I25" s="9" t="inlineStr">
        <is>
          <t>Logika dipatahkan</t>
        </is>
      </c>
      <c r="J25" s="5" t="inlineStr">
        <is>
          <t>1. diet ❌ ("FAAAH") 2. nabung ❌ 3. patuh PP 33 ✅ (yang ini wajib, mulai 16 Januari)</t>
        </is>
      </c>
      <c r="K25" s="5" t="inlineStr">
        <is>
          <t>"FAAAH" ×2 (rekam tim) · ding benar</t>
        </is>
      </c>
      <c r="L25" s="5" t="inlineStr">
        <is>
          <t>—</t>
        </is>
      </c>
      <c r="M25" s="5" t="inlineStr">
        <is>
          <t>GAP, program siap PP 33</t>
        </is>
      </c>
      <c r="N25" s="5" t="inlineStr">
        <is>
          <t>Mulai dari Start Pre Check (gratis)</t>
        </is>
      </c>
      <c r="O25" s="5" t="inlineStr">
        <is>
          <t>PP 33/2026 berlaku 16 Jan 2027</t>
        </is>
      </c>
      <c r="P25" s="9" t="n">
        <v>8</v>
      </c>
      <c r="Q25" s="9" t="n">
        <v>8</v>
      </c>
      <c r="R25" s="9" t="n">
        <v>7</v>
      </c>
      <c r="S25" s="9" t="n">
        <v>8</v>
      </c>
      <c r="T25" s="29">
        <f>ROUND(Q25*W_AW+R25*W_CV+S25*W_SH,1)</f>
        <v/>
      </c>
      <c r="U25" s="9">
        <f>ROUND((P25+S25)/2,1)</f>
        <v/>
      </c>
      <c r="V25" s="9">
        <f>RANK(T25,$T$2:$T$49)</f>
        <v/>
      </c>
      <c r="W25" s="5" t="inlineStr">
        <is>
          <t>Rendah</t>
        </is>
      </c>
      <c r="X25" s="5" t="inlineStr">
        <is>
          <t>Rendah</t>
        </is>
      </c>
      <c r="Y25" s="5" t="inlineStr">
        <is>
          <t>Baru</t>
        </is>
      </c>
      <c r="Z25" s="5" t="inlineStr">
        <is>
          <t>26 Des 2026–10 Jan 2027</t>
        </is>
      </c>
      <c r="AA25" s="5">
        <f>T25+ROW()/100000</f>
        <v/>
      </c>
    </row>
    <row r="26" ht="120" customHeight="1">
      <c r="A26" s="15" t="inlineStr">
        <is>
          <t>A25</t>
        </is>
      </c>
      <c r="B26" s="16" t="inlineStr">
        <is>
          <t>12.12: diskon 90%, data pelanggan ikut "diskon"?</t>
        </is>
      </c>
      <c r="C26" s="17" t="inlineStr">
        <is>
          <t>Momen Harbolnas</t>
        </is>
      </c>
      <c r="D26" s="17" t="inlineStr">
        <is>
          <t>Tools</t>
        </is>
      </c>
      <c r="E26" s="17" t="inlineStr">
        <is>
          <t>Awareness</t>
        </is>
      </c>
      <c r="F26" s="17" t="inlineStr">
        <is>
          <t>E-commerce, ritel</t>
        </is>
      </c>
      <c r="G26" s="17" t="inlineStr">
        <is>
          <t>TikTok/Reels 15 dtk</t>
        </is>
      </c>
      <c r="H26" s="17" t="inlineStr">
        <is>
          <t>"Saat trafik 12.12 naik 10×…"</t>
        </is>
      </c>
      <c r="I26" s="15" t="inlineStr">
        <is>
          <t>Anomali</t>
        </is>
      </c>
      <c r="J26" s="17" t="inlineStr">
        <is>
          <t>Dun dun dun: dugaan kebocoran → Nexus: latihan fire drill sebelum 12.12 + modul insiden</t>
        </is>
      </c>
      <c r="K26" s="17" t="inlineStr">
        <is>
          <t>dun dun dun · alarm</t>
        </is>
      </c>
      <c r="L26" s="17" t="inlineStr">
        <is>
          <t>—</t>
        </is>
      </c>
      <c r="M26" s="17" t="inlineStr">
        <is>
          <t>Simulasi &amp; Fire Drill, Insiden</t>
        </is>
      </c>
      <c r="N26" s="17" t="inlineStr">
        <is>
          <t>Latihan dulu sebelum 12.12</t>
        </is>
      </c>
      <c r="O26" s="17" t="inlineStr">
        <is>
          <t>fakta_produk: simulasi &amp; fire drill</t>
        </is>
      </c>
      <c r="P26" s="15" t="n">
        <v>7</v>
      </c>
      <c r="Q26" s="15" t="n">
        <v>8</v>
      </c>
      <c r="R26" s="15" t="n">
        <v>7</v>
      </c>
      <c r="S26" s="15" t="n">
        <v>7</v>
      </c>
      <c r="T26" s="28">
        <f>ROUND(Q26*W_AW+R26*W_CV+S26*W_SH,1)</f>
        <v/>
      </c>
      <c r="U26" s="15">
        <f>ROUND((P26+S26)/2,1)</f>
        <v/>
      </c>
      <c r="V26" s="15">
        <f>RANK(T26,$T$2:$T$49)</f>
        <v/>
      </c>
      <c r="W26" s="17" t="inlineStr">
        <is>
          <t>Rendah</t>
        </is>
      </c>
      <c r="X26" s="17" t="inlineStr">
        <is>
          <t>Sedang. Jangan sebut marketplace tertentu</t>
        </is>
      </c>
      <c r="Y26" s="17" t="inlineStr">
        <is>
          <t>Baru</t>
        </is>
      </c>
      <c r="Z26" s="17" t="inlineStr">
        <is>
          <t>25 Nov–12 Des 2026</t>
        </is>
      </c>
      <c r="AA26" s="17">
        <f>T26+ROW()/100000</f>
        <v/>
      </c>
    </row>
    <row r="27" ht="120" customHeight="1">
      <c r="A27" s="9" t="inlineStr">
        <is>
          <t>A26</t>
        </is>
      </c>
      <c r="B27" s="14" t="inlineStr">
        <is>
          <t>Rapat direksi: "OH MY GOD, 2%?"</t>
        </is>
      </c>
      <c r="C27" s="5" t="inlineStr">
        <is>
          <t>Reaksi kaget</t>
        </is>
      </c>
      <c r="D27" s="5" t="inlineStr">
        <is>
          <t>Konsultasi</t>
        </is>
      </c>
      <c r="E27" s="5" t="inlineStr">
        <is>
          <t>Konversi</t>
        </is>
      </c>
      <c r="F27" s="5" t="inlineStr">
        <is>
          <t>Direksi, CFO</t>
        </is>
      </c>
      <c r="G27" s="5" t="inlineStr">
        <is>
          <t>LinkedIn/Reels 15 dtk</t>
        </is>
      </c>
      <c r="H27" s="5" t="inlineStr">
        <is>
          <t>"Direksi saat tahu dendanya bisa sampai 2% pendapatan tahunan"</t>
        </is>
      </c>
      <c r="I27" s="9" t="inlineStr">
        <is>
          <t>Relate</t>
        </is>
      </c>
      <c r="J27" s="5" t="inlineStr">
        <is>
          <t>Reaksi "OH MY GOD" → konsultan Privasimu: pendampingan program siap PP 33</t>
        </is>
      </c>
      <c r="K27" s="5" t="inlineStr">
        <is>
          <t>"OH MY GOD" (rekam tim) · dun dun dun</t>
        </is>
      </c>
      <c r="L27" s="5" t="inlineStr">
        <is>
          <t>—</t>
        </is>
      </c>
      <c r="M27" s="5" t="inlineStr">
        <is>
          <t>Konsultasi + Paparan Sanksi</t>
        </is>
      </c>
      <c r="N27" s="5" t="inlineStr">
        <is>
          <t>Konsultasi (cek penawaran gratis masih berlaku)</t>
        </is>
      </c>
      <c r="O27" s="5" t="inlineStr">
        <is>
          <t>UU PDP Ps. 57</t>
        </is>
      </c>
      <c r="P27" s="9" t="n">
        <v>7</v>
      </c>
      <c r="Q27" s="9" t="n">
        <v>7</v>
      </c>
      <c r="R27" s="9" t="n">
        <v>9</v>
      </c>
      <c r="S27" s="9" t="n">
        <v>6</v>
      </c>
      <c r="T27" s="29">
        <f>ROUND(Q27*W_AW+R27*W_CV+S27*W_SH,1)</f>
        <v/>
      </c>
      <c r="U27" s="9">
        <f>ROUND((P27+S27)/2,1)</f>
        <v/>
      </c>
      <c r="V27" s="9">
        <f>RANK(T27,$T$2:$T$49)</f>
        <v/>
      </c>
      <c r="W27" s="5" t="inlineStr">
        <is>
          <t>Rendah</t>
        </is>
      </c>
      <c r="X27" s="5" t="inlineStr">
        <is>
          <t>Rendah</t>
        </is>
      </c>
      <c r="Y27" s="5" t="inlineStr">
        <is>
          <t>Bisa dari N08</t>
        </is>
      </c>
      <c r="Z27" s="5" t="inlineStr">
        <is>
          <t>Nov 2026</t>
        </is>
      </c>
      <c r="AA27" s="5">
        <f>T27+ROW()/100000</f>
        <v/>
      </c>
    </row>
    <row r="28" ht="120" customHeight="1">
      <c r="A28" s="15" t="inlineStr">
        <is>
          <t>A27</t>
        </is>
      </c>
      <c r="B28" s="16" t="inlineStr">
        <is>
          <t>Anggaran 2027: pos PDP = Rp0?</t>
        </is>
      </c>
      <c r="C28" s="17" t="inlineStr">
        <is>
          <t>POV rapat anggaran</t>
        </is>
      </c>
      <c r="D28" s="17" t="inlineStr">
        <is>
          <t>Konsultasi + Tools</t>
        </is>
      </c>
      <c r="E28" s="17" t="inlineStr">
        <is>
          <t>Konversi</t>
        </is>
      </c>
      <c r="F28" s="17" t="inlineStr">
        <is>
          <t>CFO, DPO, direksi</t>
        </is>
      </c>
      <c r="G28" s="17" t="inlineStr">
        <is>
          <t>LinkedIn/Reels 15 dtk</t>
        </is>
      </c>
      <c r="H28" s="17" t="inlineStr">
        <is>
          <t>"POV: rapat anggaran 2027, pos kepatuhan PDP: Rp0"</t>
        </is>
      </c>
      <c r="I28" s="15" t="inlineStr">
        <is>
          <t>Relate</t>
        </is>
      </c>
      <c r="J28" s="17" t="inlineStr">
        <is>
          <t>"FAAAH" → "PP 33 berlaku 16 Jan 2027" → "masukkan ke anggaran: demo &amp; penawaran"</t>
        </is>
      </c>
      <c r="K28" s="17" t="inlineStr">
        <is>
          <t>"FAAAH" (rekam tim) · coin</t>
        </is>
      </c>
      <c r="L28" s="17" t="inlineStr">
        <is>
          <t>—</t>
        </is>
      </c>
      <c r="M28" s="17" t="inlineStr">
        <is>
          <t>Platform + konsultasi</t>
        </is>
      </c>
      <c r="N28" s="17" t="inlineStr">
        <is>
          <t>Minta penawaran sebelum anggaran dikunci</t>
        </is>
      </c>
      <c r="O28" s="17" t="inlineStr">
        <is>
          <t>PP 33/2026 berlaku 16 Jan 2027</t>
        </is>
      </c>
      <c r="P28" s="15" t="n">
        <v>7</v>
      </c>
      <c r="Q28" s="15" t="n">
        <v>6</v>
      </c>
      <c r="R28" s="15" t="n">
        <v>9</v>
      </c>
      <c r="S28" s="15" t="n">
        <v>5</v>
      </c>
      <c r="T28" s="28">
        <f>ROUND(Q28*W_AW+R28*W_CV+S28*W_SH,1)</f>
        <v/>
      </c>
      <c r="U28" s="15">
        <f>ROUND((P28+S28)/2,1)</f>
        <v/>
      </c>
      <c r="V28" s="15">
        <f>RANK(T28,$T$2:$T$49)</f>
        <v/>
      </c>
      <c r="W28" s="17" t="inlineStr">
        <is>
          <t>Rendah</t>
        </is>
      </c>
      <c r="X28" s="17" t="inlineStr">
        <is>
          <t>Rendah</t>
        </is>
      </c>
      <c r="Y28" s="17" t="inlineStr">
        <is>
          <t>Baru</t>
        </is>
      </c>
      <c r="Z28" s="17" t="inlineStr">
        <is>
          <t>Okt–Nov 2026 (musim anggaran)</t>
        </is>
      </c>
      <c r="AA28" s="17">
        <f>T28+ROW()/100000</f>
        <v/>
      </c>
    </row>
    <row r="29" ht="120" customHeight="1">
      <c r="A29" s="9" t="inlineStr">
        <is>
          <t>A28</t>
        </is>
      </c>
      <c r="B29" s="14" t="inlineStr">
        <is>
          <t>HR: pelamar minta CV-nya dihapus</t>
        </is>
      </c>
      <c r="C29" s="5" t="inlineStr">
        <is>
          <t>Reaksi "HAH?"</t>
        </is>
      </c>
      <c r="D29" s="5" t="inlineStr">
        <is>
          <t>Tools</t>
        </is>
      </c>
      <c r="E29" s="5" t="inlineStr">
        <is>
          <t>Awareness</t>
        </is>
      </c>
      <c r="F29" s="5" t="inlineStr">
        <is>
          <t>HR, recruiter</t>
        </is>
      </c>
      <c r="G29" s="5" t="inlineStr">
        <is>
          <t>TikTok/Reels 15 dtk</t>
        </is>
      </c>
      <c r="H29" s="5" t="inlineStr">
        <is>
          <t>"Pelamar: 'Tolong hapus data saya.' HR:"</t>
        </is>
      </c>
      <c r="I29" s="9" t="inlineStr">
        <is>
          <t>Relate</t>
        </is>
      </c>
      <c r="J29" s="5" t="inlineStr">
        <is>
          <t>"HAH?" → retensi di RoPA + DSR 72 jam</t>
        </is>
      </c>
      <c r="K29" s="5" t="inlineStr">
        <is>
          <t>"HAH?" (rekam tim)</t>
        </is>
      </c>
      <c r="L29" s="5" t="inlineStr">
        <is>
          <t>—</t>
        </is>
      </c>
      <c r="M29" s="5" t="inlineStr">
        <is>
          <t>RoPA (retensi), DSR</t>
        </is>
      </c>
      <c r="N29" s="5" t="inlineStr">
        <is>
          <t>Tag tim HR</t>
        </is>
      </c>
      <c r="O29" s="5" t="inlineStr">
        <is>
          <t>fakta_produk: ropa (retensi), dsr</t>
        </is>
      </c>
      <c r="P29" s="9" t="n">
        <v>8</v>
      </c>
      <c r="Q29" s="9" t="n">
        <v>7</v>
      </c>
      <c r="R29" s="9" t="n">
        <v>6</v>
      </c>
      <c r="S29" s="9" t="n">
        <v>8</v>
      </c>
      <c r="T29" s="29">
        <f>ROUND(Q29*W_AW+R29*W_CV+S29*W_SH,1)</f>
        <v/>
      </c>
      <c r="U29" s="9">
        <f>ROUND((P29+S29)/2,1)</f>
        <v/>
      </c>
      <c r="V29" s="9">
        <f>RANK(T29,$T$2:$T$49)</f>
        <v/>
      </c>
      <c r="W29" s="5" t="inlineStr">
        <is>
          <t>Rendah</t>
        </is>
      </c>
      <c r="X29" s="5" t="inlineStr">
        <is>
          <t>Rendah</t>
        </is>
      </c>
      <c r="Y29" s="5" t="inlineStr">
        <is>
          <t>Baru</t>
        </is>
      </c>
      <c r="Z29" s="5" t="inlineStr">
        <is>
          <t>Kapan saja</t>
        </is>
      </c>
      <c r="AA29" s="5">
        <f>T29+ROW()/100000</f>
        <v/>
      </c>
    </row>
    <row r="30" ht="120" customHeight="1">
      <c r="A30" s="15" t="inlineStr">
        <is>
          <t>A29</t>
        </is>
      </c>
      <c r="B30" s="16" t="inlineStr">
        <is>
          <t>IT: "Aman kok, password-nya 123"</t>
        </is>
      </c>
      <c r="C30" s="17" t="inlineStr">
        <is>
          <t>Error / gagal</t>
        </is>
      </c>
      <c r="D30" s="17" t="inlineStr">
        <is>
          <t>Tools</t>
        </is>
      </c>
      <c r="E30" s="17" t="inlineStr">
        <is>
          <t>Awareness</t>
        </is>
      </c>
      <c r="F30" s="17" t="inlineStr">
        <is>
          <t>IT, karyawan</t>
        </is>
      </c>
      <c r="G30" s="17" t="inlineStr">
        <is>
          <t>TikTok/Reels 10–15 dtk</t>
        </is>
      </c>
      <c r="H30" s="17" t="inlineStr">
        <is>
          <t>"IT: 'Aman kok.' Password-nya:"</t>
        </is>
      </c>
      <c r="I30" s="15" t="inlineStr">
        <is>
          <t>Logika dipatahkan</t>
        </is>
      </c>
      <c r="J30" s="17" t="inlineStr">
        <is>
          <t>"123456" → suara error → fire drill simulasi insiden di Nexus</t>
        </is>
      </c>
      <c r="K30" s="17" t="inlineStr">
        <is>
          <t>error (synth) · "FAAAH"</t>
        </is>
      </c>
      <c r="L30" s="17" t="inlineStr">
        <is>
          <t>—</t>
        </is>
      </c>
      <c r="M30" s="17" t="inlineStr">
        <is>
          <t>Simulasi &amp; Fire Drill</t>
        </is>
      </c>
      <c r="N30" s="17" t="inlineStr">
        <is>
          <t>Uji kesiapan timmu</t>
        </is>
      </c>
      <c r="O30" s="17" t="inlineStr">
        <is>
          <t>fakta_produk: simulasi</t>
        </is>
      </c>
      <c r="P30" s="15" t="n">
        <v>8</v>
      </c>
      <c r="Q30" s="15" t="n">
        <v>8</v>
      </c>
      <c r="R30" s="15" t="n">
        <v>6</v>
      </c>
      <c r="S30" s="15" t="n">
        <v>8</v>
      </c>
      <c r="T30" s="28">
        <f>ROUND(Q30*W_AW+R30*W_CV+S30*W_SH,1)</f>
        <v/>
      </c>
      <c r="U30" s="15">
        <f>ROUND((P30+S30)/2,1)</f>
        <v/>
      </c>
      <c r="V30" s="15">
        <f>RANK(T30,$T$2:$T$49)</f>
        <v/>
      </c>
      <c r="W30" s="17" t="inlineStr">
        <is>
          <t>Rendah</t>
        </is>
      </c>
      <c r="X30" s="17" t="inlineStr">
        <is>
          <t>Rendah</t>
        </is>
      </c>
      <c r="Y30" s="17" t="inlineStr">
        <is>
          <t>Baru</t>
        </is>
      </c>
      <c r="Z30" s="17" t="inlineStr">
        <is>
          <t>Kapan saja</t>
        </is>
      </c>
      <c r="AA30" s="17">
        <f>T30+ROW()/100000</f>
        <v/>
      </c>
    </row>
    <row r="31" ht="120" customHeight="1">
      <c r="A31" s="9" t="inlineStr">
        <is>
          <t>A30</t>
        </is>
      </c>
      <c r="B31" s="14" t="inlineStr">
        <is>
          <t>Latihan kebakaran ada, latihan kebocoran data?</t>
        </is>
      </c>
      <c r="C31" s="5" t="inlineStr">
        <is>
          <t>Pertanyaan retoris + alarm</t>
        </is>
      </c>
      <c r="D31" s="5" t="inlineStr">
        <is>
          <t>Tools</t>
        </is>
      </c>
      <c r="E31" s="5" t="inlineStr">
        <is>
          <t>Konversi</t>
        </is>
      </c>
      <c r="F31" s="5" t="inlineStr">
        <is>
          <t>CISO, DPO</t>
        </is>
      </c>
      <c r="G31" s="5" t="inlineStr">
        <is>
          <t>LinkedIn/Reels 15 dtk</t>
        </is>
      </c>
      <c r="H31" s="5" t="inlineStr">
        <is>
          <t>"Kantor kita rutin latihan kebakaran. Latihan kebocoran data?"</t>
        </is>
      </c>
      <c r="I31" s="9" t="inlineStr">
        <is>
          <t>Logika dipatahkan</t>
        </is>
      </c>
      <c r="J31" s="5" t="inlineStr">
        <is>
          <t>Alarm → skenario kuis/tabletop di Nexus → skor rubrik</t>
        </is>
      </c>
      <c r="K31" s="5" t="inlineStr">
        <is>
          <t>alarm · centang</t>
        </is>
      </c>
      <c r="L31" s="5" t="inlineStr">
        <is>
          <t>—</t>
        </is>
      </c>
      <c r="M31" s="5" t="inlineStr">
        <is>
          <t>Simulasi &amp; Fire Drill</t>
        </is>
      </c>
      <c r="N31" s="5" t="inlineStr">
        <is>
          <t>Minta demo</t>
        </is>
      </c>
      <c r="O31" s="5" t="inlineStr">
        <is>
          <t>fakta_produk: simulasi (kuis, tabletop, walkthrough, rubrik)</t>
        </is>
      </c>
      <c r="P31" s="9" t="n">
        <v>7</v>
      </c>
      <c r="Q31" s="9" t="n">
        <v>7</v>
      </c>
      <c r="R31" s="9" t="n">
        <v>8</v>
      </c>
      <c r="S31" s="9" t="n">
        <v>6</v>
      </c>
      <c r="T31" s="29">
        <f>ROUND(Q31*W_AW+R31*W_CV+S31*W_SH,1)</f>
        <v/>
      </c>
      <c r="U31" s="9">
        <f>ROUND((P31+S31)/2,1)</f>
        <v/>
      </c>
      <c r="V31" s="9">
        <f>RANK(T31,$T$2:$T$49)</f>
        <v/>
      </c>
      <c r="W31" s="5" t="inlineStr">
        <is>
          <t>Rendah</t>
        </is>
      </c>
      <c r="X31" s="5" t="inlineStr">
        <is>
          <t>Rendah</t>
        </is>
      </c>
      <c r="Y31" s="5" t="inlineStr">
        <is>
          <t>Baru</t>
        </is>
      </c>
      <c r="Z31" s="5" t="inlineStr">
        <is>
          <t>Okt 2026</t>
        </is>
      </c>
      <c r="AA31" s="5">
        <f>T31+ROW()/100000</f>
        <v/>
      </c>
    </row>
    <row r="32" ht="120" customHeight="1">
      <c r="A32" s="15" t="inlineStr">
        <is>
          <t>A31</t>
        </is>
      </c>
      <c r="B32" s="16" t="inlineStr">
        <is>
          <t>Sus: pengguna umur 12 daftar sendiri</t>
        </is>
      </c>
      <c r="C32" s="17" t="inlineStr">
        <is>
          <t>Slang "sus"</t>
        </is>
      </c>
      <c r="D32" s="17" t="inlineStr">
        <is>
          <t>Tools</t>
        </is>
      </c>
      <c r="E32" s="17" t="inlineStr">
        <is>
          <t>Konversi</t>
        </is>
      </c>
      <c r="F32" s="17" t="inlineStr">
        <is>
          <t>Edtech, game, sekolah</t>
        </is>
      </c>
      <c r="G32" s="17" t="inlineStr">
        <is>
          <t>Reels/Shorts 15 dtk</t>
        </is>
      </c>
      <c r="H32" s="17" t="inlineStr">
        <is>
          <t>"Pengguna umur 12 tahun daftar sendiri tanpa wali? Sus."</t>
        </is>
      </c>
      <c r="I32" s="15" t="inlineStr">
        <is>
          <t>Anomali</t>
        </is>
      </c>
      <c r="J32" s="17" t="inlineStr">
        <is>
          <t>Children Pro: persetujuan wali, peralihan saat 18 tahun</t>
        </is>
      </c>
      <c r="K32" s="17" t="inlineStr">
        <is>
          <t>pop · ding</t>
        </is>
      </c>
      <c r="L32" s="17" t="inlineStr">
        <is>
          <t>—</t>
        </is>
      </c>
      <c r="M32" s="17" t="inlineStr">
        <is>
          <t>Children Pro</t>
        </is>
      </c>
      <c r="N32" s="17" t="inlineStr">
        <is>
          <t>Minta demo</t>
        </is>
      </c>
      <c r="O32" s="17" t="inlineStr">
        <is>
          <t>fakta_produk: consent (Children Pro); PP 33 Ps. 38 ayat (8)</t>
        </is>
      </c>
      <c r="P32" s="15" t="n">
        <v>6</v>
      </c>
      <c r="Q32" s="15" t="n">
        <v>7</v>
      </c>
      <c r="R32" s="15" t="n">
        <v>7</v>
      </c>
      <c r="S32" s="15" t="n">
        <v>6</v>
      </c>
      <c r="T32" s="28">
        <f>ROUND(Q32*W_AW+R32*W_CV+S32*W_SH,1)</f>
        <v/>
      </c>
      <c r="U32" s="15">
        <f>ROUND((P32+S32)/2,1)</f>
        <v/>
      </c>
      <c r="V32" s="15">
        <f>RANK(T32,$T$2:$T$49)</f>
        <v/>
      </c>
      <c r="W32" s="17" t="inlineStr">
        <is>
          <t>Rendah</t>
        </is>
      </c>
      <c r="X32" s="17" t="inlineStr">
        <is>
          <t>Rendah</t>
        </is>
      </c>
      <c r="Y32" s="17" t="inlineStr">
        <is>
          <t>Bisa dari N06</t>
        </is>
      </c>
      <c r="Z32" s="17" t="inlineStr">
        <is>
          <t>Nov 2026</t>
        </is>
      </c>
      <c r="AA32" s="17">
        <f>T32+ROW()/100000</f>
        <v/>
      </c>
    </row>
    <row r="33" ht="120" customHeight="1">
      <c r="A33" s="9" t="inlineStr">
        <is>
          <t>A32</t>
        </is>
      </c>
      <c r="B33" s="14" t="inlineStr">
        <is>
          <t>Persetujuan yang bisa dipahami semua orang</t>
        </is>
      </c>
      <c r="C33" s="5" t="inlineStr">
        <is>
          <t>Heartwarming (non-meme)</t>
        </is>
      </c>
      <c r="D33" s="5" t="inlineStr">
        <is>
          <t>Brand</t>
        </is>
      </c>
      <c r="E33" s="5" t="inlineStr">
        <is>
          <t>Awareness</t>
        </is>
      </c>
      <c r="F33" s="5" t="inlineStr">
        <is>
          <t>Publik, layanan publik</t>
        </is>
      </c>
      <c r="G33" s="5" t="inlineStr">
        <is>
          <t>Reels/YouTube 20 dtk</t>
        </is>
      </c>
      <c r="H33" s="5" t="inlineStr">
        <is>
          <t>"Tombol 'Setuju' yang tidak bisa dibaca semua orang"</t>
        </is>
      </c>
      <c r="I33" s="9" t="inlineStr">
        <is>
          <t>Reverse psychology</t>
        </is>
      </c>
      <c r="J33" s="5" t="inlineStr">
        <is>
          <t>Pengguna tunanetra/lansia → Inclusive Privacy</t>
        </is>
      </c>
      <c r="K33" s="5" t="inlineStr">
        <is>
          <t>musik lembut</t>
        </is>
      </c>
      <c r="L33" s="5" t="inlineStr">
        <is>
          <t>—</t>
        </is>
      </c>
      <c r="M33" s="5" t="inlineStr">
        <is>
          <t>Inclusive Privacy</t>
        </is>
      </c>
      <c r="N33" s="5" t="inlineStr">
        <is>
          <t>Pelajari lebih lanjut</t>
        </is>
      </c>
      <c r="O33" s="5" t="inlineStr">
        <is>
          <t>fakta_produk: consent (Inclusive Privacy)</t>
        </is>
      </c>
      <c r="P33" s="9" t="n">
        <v>6</v>
      </c>
      <c r="Q33" s="9" t="n">
        <v>6</v>
      </c>
      <c r="R33" s="9" t="n">
        <v>6</v>
      </c>
      <c r="S33" s="9" t="n">
        <v>7</v>
      </c>
      <c r="T33" s="29">
        <f>ROUND(Q33*W_AW+R33*W_CV+S33*W_SH,1)</f>
        <v/>
      </c>
      <c r="U33" s="9">
        <f>ROUND((P33+S33)/2,1)</f>
        <v/>
      </c>
      <c r="V33" s="9">
        <f>RANK(T33,$T$2:$T$49)</f>
        <v/>
      </c>
      <c r="W33" s="5" t="inlineStr">
        <is>
          <t>Sedang</t>
        </is>
      </c>
      <c r="X33" s="5" t="inlineStr">
        <is>
          <t>Rendah. Libatkan komunitas disabilitas, hindari stereotip</t>
        </is>
      </c>
      <c r="Y33" s="5" t="inlineStr">
        <is>
          <t>Baru</t>
        </is>
      </c>
      <c r="Z33" s="5" t="inlineStr">
        <is>
          <t>Awal Des 2026 (3 Des: Hari Disabilitas Internasional)</t>
        </is>
      </c>
      <c r="AA33" s="5">
        <f>T33+ROW()/100000</f>
        <v/>
      </c>
    </row>
    <row r="34" ht="120" customHeight="1">
      <c r="A34" s="15" t="inlineStr">
        <is>
          <t>A33</t>
        </is>
      </c>
      <c r="B34" s="16" t="inlineStr">
        <is>
          <t>12 anak usaha, 12 versi RoPA</t>
        </is>
      </c>
      <c r="C34" s="17" t="inlineStr">
        <is>
          <t>"Saling tunjuk" (digambar ulang, tanpa adegan kartun asli)</t>
        </is>
      </c>
      <c r="D34" s="17" t="inlineStr">
        <is>
          <t>Konsultasi + Tools</t>
        </is>
      </c>
      <c r="E34" s="17" t="inlineStr">
        <is>
          <t>Konversi</t>
        </is>
      </c>
      <c r="F34" s="17" t="inlineStr">
        <is>
          <t>Holding, grup usaha</t>
        </is>
      </c>
      <c r="G34" s="17" t="inlineStr">
        <is>
          <t>LinkedIn/Reels 15 dtk</t>
        </is>
      </c>
      <c r="H34" s="17" t="inlineStr">
        <is>
          <t>Holding: "Siapa yang pegang data pelanggan?"</t>
        </is>
      </c>
      <c r="I34" s="15" t="inlineStr">
        <is>
          <t>Anomali</t>
        </is>
      </c>
      <c r="J34" s="17" t="inlineStr">
        <is>
          <t>3 karakter DPO identik saling tunjuk → Holding Dashboard: satu grup, satu standar</t>
        </is>
      </c>
      <c r="K34" s="17" t="inlineStr">
        <is>
          <t>vine boom</t>
        </is>
      </c>
      <c r="L34" s="17" t="inlineStr">
        <is>
          <t>—</t>
        </is>
      </c>
      <c r="M34" s="17" t="inlineStr">
        <is>
          <t>Holding Dashboard</t>
        </is>
      </c>
      <c r="N34" s="17" t="inlineStr">
        <is>
          <t>Konsultasi enterprise</t>
        </is>
      </c>
      <c r="O34" s="17" t="inlineStr">
        <is>
          <t>Tampilan asli Holding Group Dashboard (tanpa data grup)</t>
        </is>
      </c>
      <c r="P34" s="15" t="n">
        <v>7</v>
      </c>
      <c r="Q34" s="15" t="n">
        <v>7</v>
      </c>
      <c r="R34" s="15" t="n">
        <v>8</v>
      </c>
      <c r="S34" s="15" t="n">
        <v>6</v>
      </c>
      <c r="T34" s="28">
        <f>ROUND(Q34*W_AW+R34*W_CV+S34*W_SH,1)</f>
        <v/>
      </c>
      <c r="U34" s="15">
        <f>ROUND((P34+S34)/2,1)</f>
        <v/>
      </c>
      <c r="V34" s="15">
        <f>RANK(T34,$T$2:$T$49)</f>
        <v/>
      </c>
      <c r="W34" s="17" t="inlineStr">
        <is>
          <t>Rendah</t>
        </is>
      </c>
      <c r="X34" s="17" t="inlineStr">
        <is>
          <t>Rendah</t>
        </is>
      </c>
      <c r="Y34" s="17" t="inlineStr">
        <is>
          <t>Bisa dari N10</t>
        </is>
      </c>
      <c r="Z34" s="17" t="inlineStr">
        <is>
          <t>Nov 2026</t>
        </is>
      </c>
      <c r="AA34" s="17">
        <f>T34+ROW()/100000</f>
        <v/>
      </c>
    </row>
    <row r="35" ht="120" customHeight="1">
      <c r="A35" s="9" t="inlineStr">
        <is>
          <t>A34</t>
        </is>
      </c>
      <c r="B35" s="14" t="inlineStr">
        <is>
          <t>Server-nya di mana? "Di cloud."</t>
        </is>
      </c>
      <c r="C35" s="5" t="inlineStr">
        <is>
          <t>Reaksi bingung</t>
        </is>
      </c>
      <c r="D35" s="5" t="inlineStr">
        <is>
          <t>Tools</t>
        </is>
      </c>
      <c r="E35" s="5" t="inlineStr">
        <is>
          <t>Awareness</t>
        </is>
      </c>
      <c r="F35" s="5" t="inlineStr">
        <is>
          <t>IT, legal</t>
        </is>
      </c>
      <c r="G35" s="5" t="inlineStr">
        <is>
          <t>TikTok/Reels 15 dtk</t>
        </is>
      </c>
      <c r="H35" s="5" t="inlineStr">
        <is>
          <t>"Data pelanggan disimpan di mana?" "Di cloud." "Cloud-nya di negara mana?"</t>
        </is>
      </c>
      <c r="I35" s="9" t="inlineStr">
        <is>
          <t>Logika dipatahkan</t>
        </is>
      </c>
      <c r="J35" s="5" t="inlineStr">
        <is>
          <t>Jangkrik → register transfer lintas negara + TIA</t>
        </is>
      </c>
      <c r="K35" s="5" t="inlineStr">
        <is>
          <t>jangkrik · "HAH?"</t>
        </is>
      </c>
      <c r="L35" s="5" t="inlineStr">
        <is>
          <t>—</t>
        </is>
      </c>
      <c r="M35" s="5" t="inlineStr">
        <is>
          <t>Transfer Data Lintas Negara (TIA)</t>
        </is>
      </c>
      <c r="N35" s="5" t="inlineStr">
        <is>
          <t>Minta demo</t>
        </is>
      </c>
      <c r="O35" s="5" t="inlineStr">
        <is>
          <t>fakta_produk: transfer lintas negara</t>
        </is>
      </c>
      <c r="P35" s="9" t="n">
        <v>7</v>
      </c>
      <c r="Q35" s="9" t="n">
        <v>6</v>
      </c>
      <c r="R35" s="9" t="n">
        <v>7</v>
      </c>
      <c r="S35" s="9" t="n">
        <v>7</v>
      </c>
      <c r="T35" s="29">
        <f>ROUND(Q35*W_AW+R35*W_CV+S35*W_SH,1)</f>
        <v/>
      </c>
      <c r="U35" s="9">
        <f>ROUND((P35+S35)/2,1)</f>
        <v/>
      </c>
      <c r="V35" s="9">
        <f>RANK(T35,$T$2:$T$49)</f>
        <v/>
      </c>
      <c r="W35" s="5" t="inlineStr">
        <is>
          <t>Rendah</t>
        </is>
      </c>
      <c r="X35" s="5" t="inlineStr">
        <is>
          <t>Rendah</t>
        </is>
      </c>
      <c r="Y35" s="5" t="inlineStr">
        <is>
          <t>Baru</t>
        </is>
      </c>
      <c r="Z35" s="5" t="inlineStr">
        <is>
          <t>Kapan saja</t>
        </is>
      </c>
      <c r="AA35" s="5">
        <f>T35+ROW()/100000</f>
        <v/>
      </c>
    </row>
    <row r="36" ht="120" customHeight="1">
      <c r="A36" s="15" t="inlineStr">
        <is>
          <t>A35</t>
        </is>
      </c>
      <c r="B36" s="16" t="inlineStr">
        <is>
          <t>AI yang ngarang pasal vs AI yang mengutip pasal</t>
        </is>
      </c>
      <c r="C36" s="17" t="inlineStr">
        <is>
          <t>Drake-style ❌/✅ (digambar ulang)</t>
        </is>
      </c>
      <c r="D36" s="17" t="inlineStr">
        <is>
          <t>Tools</t>
        </is>
      </c>
      <c r="E36" s="17" t="inlineStr">
        <is>
          <t>Konversi</t>
        </is>
      </c>
      <c r="F36" s="17" t="inlineStr">
        <is>
          <t>Legal, DPO</t>
        </is>
      </c>
      <c r="G36" s="17" t="inlineStr">
        <is>
          <t>LinkedIn/Reels 15 dtk</t>
        </is>
      </c>
      <c r="H36" s="17" t="inlineStr">
        <is>
          <t>"Tanya AI soal bunyi pasal:"</t>
        </is>
      </c>
      <c r="I36" s="15" t="inlineStr">
        <is>
          <t>Logika dipatahkan</t>
        </is>
      </c>
      <c r="J36" s="17" t="inlineStr">
        <is>
          <t>❌ AI yang mengarang bunyi pasal / ✅ Telaah Kebijakan Nexus: bunyi pasal diambil dari knowledge base regulasi</t>
        </is>
      </c>
      <c r="K36" s="17" t="inlineStr">
        <is>
          <t>buzzer · ding benar</t>
        </is>
      </c>
      <c r="L36" s="17" t="inlineStr">
        <is>
          <t>—</t>
        </is>
      </c>
      <c r="M36" s="17" t="inlineStr">
        <is>
          <t>Telaah Kebijakan, asisten AI</t>
        </is>
      </c>
      <c r="N36" s="17" t="inlineStr">
        <is>
          <t>Minta demo</t>
        </is>
      </c>
      <c r="O36" s="17" t="inlineStr">
        <is>
          <t>fakta_produk: telaah kebijakan (bunyi pasal dari knowledge base, bukan ditulis AI)</t>
        </is>
      </c>
      <c r="P36" s="15" t="n">
        <v>7</v>
      </c>
      <c r="Q36" s="15" t="n">
        <v>7</v>
      </c>
      <c r="R36" s="15" t="n">
        <v>8</v>
      </c>
      <c r="S36" s="15" t="n">
        <v>7</v>
      </c>
      <c r="T36" s="28">
        <f>ROUND(Q36*W_AW+R36*W_CV+S36*W_SH,1)</f>
        <v/>
      </c>
      <c r="U36" s="15">
        <f>ROUND((P36+S36)/2,1)</f>
        <v/>
      </c>
      <c r="V36" s="15">
        <f>RANK(T36,$T$2:$T$49)</f>
        <v/>
      </c>
      <c r="W36" s="17" t="inlineStr">
        <is>
          <t>Rendah</t>
        </is>
      </c>
      <c r="X36" s="17" t="inlineStr">
        <is>
          <t>Sedang. Jangan sebut merek AI lain</t>
        </is>
      </c>
      <c r="Y36" s="17" t="inlineStr">
        <is>
          <t>Baru</t>
        </is>
      </c>
      <c r="Z36" s="17" t="inlineStr">
        <is>
          <t>Okt–Nov 2026</t>
        </is>
      </c>
      <c r="AA36" s="17">
        <f>T36+ROW()/100000</f>
        <v/>
      </c>
    </row>
    <row r="37" ht="120" customHeight="1">
      <c r="A37" s="9" t="inlineStr">
        <is>
          <t>A36</t>
        </is>
      </c>
      <c r="B37" s="14" t="inlineStr">
        <is>
          <t>Selamat, kamu DPO sekarang 👏</t>
        </is>
      </c>
      <c r="C37" s="5" t="inlineStr">
        <is>
          <t>Tepuk tangan sarkas</t>
        </is>
      </c>
      <c r="D37" s="5" t="inlineStr">
        <is>
          <t>Konsultasi + Pelatihan</t>
        </is>
      </c>
      <c r="E37" s="5" t="inlineStr">
        <is>
          <t>Konversi</t>
        </is>
      </c>
      <c r="F37" s="5" t="inlineStr">
        <is>
          <t>DPO/PPDP baru</t>
        </is>
      </c>
      <c r="G37" s="5" t="inlineStr">
        <is>
          <t>Reels/LinkedIn 15–20 dtk</t>
        </is>
      </c>
      <c r="H37" s="5" t="inlineStr">
        <is>
          <t>Bos: "Selamat, kamu DPO sekarang."</t>
        </is>
      </c>
      <c r="I37" s="9" t="inlineStr">
        <is>
          <t>Reverse psychology</t>
        </is>
      </c>
      <c r="J37" s="5" t="inlineStr">
        <is>
          <t>Tepuk tangan sarkas → DPO 🫠 → DPO Academy + pendampingan konsultan</t>
        </is>
      </c>
      <c r="K37" s="5" t="inlineStr">
        <is>
          <t>tepuk tangan (synth) · sad violin (synth)</t>
        </is>
      </c>
      <c r="L37" s="5" t="inlineStr">
        <is>
          <t>—</t>
        </is>
      </c>
      <c r="M37" s="5" t="inlineStr">
        <is>
          <t>DPO Academy, pendampingan</t>
        </is>
      </c>
      <c r="N37" s="5" t="inlineStr">
        <is>
          <t>Kelas &amp; pendampingan PPDP</t>
        </is>
      </c>
      <c r="O37" s="5" t="inlineStr">
        <is>
          <t>UU PDP Ps. 53–54 (penunjukan &amp; tugas PPDP); DPO Academy</t>
        </is>
      </c>
      <c r="P37" s="9" t="n">
        <v>8</v>
      </c>
      <c r="Q37" s="9" t="n">
        <v>7</v>
      </c>
      <c r="R37" s="9" t="n">
        <v>8</v>
      </c>
      <c r="S37" s="9" t="n">
        <v>8</v>
      </c>
      <c r="T37" s="29">
        <f>ROUND(Q37*W_AW+R37*W_CV+S37*W_SH,1)</f>
        <v/>
      </c>
      <c r="U37" s="9">
        <f>ROUND((P37+S37)/2,1)</f>
        <v/>
      </c>
      <c r="V37" s="9">
        <f>RANK(T37,$T$2:$T$49)</f>
        <v/>
      </c>
      <c r="W37" s="5" t="inlineStr">
        <is>
          <t>Rendah</t>
        </is>
      </c>
      <c r="X37" s="5" t="inlineStr">
        <is>
          <t>Rendah</t>
        </is>
      </c>
      <c r="Y37" s="5" t="inlineStr">
        <is>
          <t>Bisa dari N09</t>
        </is>
      </c>
      <c r="Z37" s="5" t="inlineStr">
        <is>
          <t>Okt 2026</t>
        </is>
      </c>
      <c r="AA37" s="5">
        <f>T37+ROW()/100000</f>
        <v/>
      </c>
    </row>
    <row r="38" ht="120" customHeight="1">
      <c r="A38" s="15" t="inlineStr">
        <is>
          <t>A37</t>
        </is>
      </c>
      <c r="B38" s="16" t="inlineStr">
        <is>
          <t>Konsultan yang kirim PDF lalu hilang</t>
        </is>
      </c>
      <c r="C38" s="17" t="inlineStr">
        <is>
          <t>Drake-style ❌/✅</t>
        </is>
      </c>
      <c r="D38" s="17" t="inlineStr">
        <is>
          <t>Konsultasi</t>
        </is>
      </c>
      <c r="E38" s="17" t="inlineStr">
        <is>
          <t>Konversi</t>
        </is>
      </c>
      <c r="F38" s="17" t="inlineStr">
        <is>
          <t>Direksi, DPO</t>
        </is>
      </c>
      <c r="G38" s="17" t="inlineStr">
        <is>
          <t>LinkedIn/Reels 15 dtk</t>
        </is>
      </c>
      <c r="H38" s="17" t="inlineStr">
        <is>
          <t>"Konsultan PDP yang kamu butuhkan:"</t>
        </is>
      </c>
      <c r="I38" s="15" t="inlineStr">
        <is>
          <t>Logika dipatahkan</t>
        </is>
      </c>
      <c r="J38" s="17" t="inlineStr">
        <is>
          <t>❌ kirim dokumen 200 halaman lalu hilang / ✅ mendampingi sampai audit + tools Nexus</t>
        </is>
      </c>
      <c r="K38" s="17" t="inlineStr">
        <is>
          <t>buzzer · ding benar</t>
        </is>
      </c>
      <c r="L38" s="17" t="inlineStr">
        <is>
          <t>—</t>
        </is>
      </c>
      <c r="M38" s="17" t="inlineStr">
        <is>
          <t>Konsultasi + Nexus</t>
        </is>
      </c>
      <c r="N38" s="17" t="inlineStr">
        <is>
          <t>Konsultasi (cek penawaran gratis masih berlaku)</t>
        </is>
      </c>
      <c r="O38" s="17" t="inlineStr">
        <is>
          <t>—</t>
        </is>
      </c>
      <c r="P38" s="15" t="n">
        <v>7</v>
      </c>
      <c r="Q38" s="15" t="n">
        <v>6</v>
      </c>
      <c r="R38" s="15" t="n">
        <v>9</v>
      </c>
      <c r="S38" s="15" t="n">
        <v>6</v>
      </c>
      <c r="T38" s="28">
        <f>ROUND(Q38*W_AW+R38*W_CV+S38*W_SH,1)</f>
        <v/>
      </c>
      <c r="U38" s="15">
        <f>ROUND((P38+S38)/2,1)</f>
        <v/>
      </c>
      <c r="V38" s="15">
        <f>RANK(T38,$T$2:$T$49)</f>
        <v/>
      </c>
      <c r="W38" s="17" t="inlineStr">
        <is>
          <t>Rendah</t>
        </is>
      </c>
      <c r="X38" s="17" t="inlineStr">
        <is>
          <t>Sedang. Jangan menyindir pesaing tertentu</t>
        </is>
      </c>
      <c r="Y38" s="17" t="inlineStr">
        <is>
          <t>Bisa dari N07</t>
        </is>
      </c>
      <c r="Z38" s="17" t="inlineStr">
        <is>
          <t>Nov 2026</t>
        </is>
      </c>
      <c r="AA38" s="17">
        <f>T38+ROW()/100000</f>
        <v/>
      </c>
    </row>
    <row r="39" ht="120" customHeight="1">
      <c r="A39" s="9" t="inlineStr">
        <is>
          <t>A38</t>
        </is>
      </c>
      <c r="B39" s="14" t="inlineStr">
        <is>
          <t>Hapus data saya… yang ada di 7 sistem</t>
        </is>
      </c>
      <c r="C39" s="5" t="inlineStr">
        <is>
          <t>Ekspektasi vs realita</t>
        </is>
      </c>
      <c r="D39" s="5" t="inlineStr">
        <is>
          <t>Tools</t>
        </is>
      </c>
      <c r="E39" s="5" t="inlineStr">
        <is>
          <t>Konversi</t>
        </is>
      </c>
      <c r="F39" s="5" t="inlineStr">
        <is>
          <t>DPO, IT</t>
        </is>
      </c>
      <c r="G39" s="5" t="inlineStr">
        <is>
          <t>LinkedIn/Reels 15 dtk</t>
        </is>
      </c>
      <c r="H39" s="5" t="inlineStr">
        <is>
          <t>"Ekspektasi: hapus 1 data. Realita:"</t>
        </is>
      </c>
      <c r="I39" s="9" t="inlineStr">
        <is>
          <t>Anomali</t>
        </is>
      </c>
      <c r="J39" s="5" t="inlineStr">
        <is>
          <t>Data orang yang sama muncul di 7 sistem → Data Discovery menemukan semuanya</t>
        </is>
      </c>
      <c r="K39" s="5" t="inlineStr">
        <is>
          <t>dun dun dun</t>
        </is>
      </c>
      <c r="L39" s="5" t="inlineStr">
        <is>
          <t>—</t>
        </is>
      </c>
      <c r="M39" s="5" t="inlineStr">
        <is>
          <t>Data Discovery, DSR</t>
        </is>
      </c>
      <c r="N39" s="5" t="inlineStr">
        <is>
          <t>Minta demo</t>
        </is>
      </c>
      <c r="O39" s="5" t="inlineStr">
        <is>
          <t>fakta_produk: data discovery (cari data satu subjek)</t>
        </is>
      </c>
      <c r="P39" s="9" t="n">
        <v>7</v>
      </c>
      <c r="Q39" s="9" t="n">
        <v>6</v>
      </c>
      <c r="R39" s="9" t="n">
        <v>7</v>
      </c>
      <c r="S39" s="9" t="n">
        <v>6</v>
      </c>
      <c r="T39" s="29">
        <f>ROUND(Q39*W_AW+R39*W_CV+S39*W_SH,1)</f>
        <v/>
      </c>
      <c r="U39" s="9">
        <f>ROUND((P39+S39)/2,1)</f>
        <v/>
      </c>
      <c r="V39" s="9">
        <f>RANK(T39,$T$2:$T$49)</f>
        <v/>
      </c>
      <c r="W39" s="5" t="inlineStr">
        <is>
          <t>Rendah</t>
        </is>
      </c>
      <c r="X39" s="5" t="inlineStr">
        <is>
          <t>Rendah</t>
        </is>
      </c>
      <c r="Y39" s="5" t="inlineStr">
        <is>
          <t>Baru</t>
        </is>
      </c>
      <c r="Z39" s="5" t="inlineStr">
        <is>
          <t>Kapan saja</t>
        </is>
      </c>
      <c r="AA39" s="5">
        <f>T39+ROW()/100000</f>
        <v/>
      </c>
    </row>
    <row r="40" ht="120" customHeight="1">
      <c r="A40" s="15" t="inlineStr">
        <is>
          <t>A39</t>
        </is>
      </c>
      <c r="B40" s="16" t="inlineStr">
        <is>
          <t>Plot twist: yang bocorin… admin grup</t>
        </is>
      </c>
      <c r="C40" s="17" t="inlineStr">
        <is>
          <t>Storytime + plot twist</t>
        </is>
      </c>
      <c r="D40" s="17" t="inlineStr">
        <is>
          <t>Edukasi</t>
        </is>
      </c>
      <c r="E40" s="17" t="inlineStr">
        <is>
          <t>Awareness + Share</t>
        </is>
      </c>
      <c r="F40" s="17" t="inlineStr">
        <is>
          <t>Karyawan</t>
        </is>
      </c>
      <c r="G40" s="17" t="inlineStr">
        <is>
          <t>TikTok/Reels 20–30 dtk</t>
        </is>
      </c>
      <c r="H40" s="17" t="inlineStr">
        <is>
          <t>"Storytime: data pelanggan kami bocor. Pelakunya?"</t>
        </is>
      </c>
      <c r="I40" s="15" t="inlineStr">
        <is>
          <t>Anomali</t>
        </is>
      </c>
      <c r="J40" s="17" t="inlineStr">
        <is>
          <t>Investigasi dramatis → vine boom: "admin grup yang meneruskan file" → pelatihan + telaah kebijakan</t>
        </is>
      </c>
      <c r="K40" s="17" t="inlineStr">
        <is>
          <t>vine boom · dun dun dun</t>
        </is>
      </c>
      <c r="L40" s="17" t="inlineStr">
        <is>
          <t>Narator "berat"</t>
        </is>
      </c>
      <c r="M40" s="17" t="inlineStr">
        <is>
          <t>Telaah Kebijakan, DPO Academy</t>
        </is>
      </c>
      <c r="N40" s="17" t="inlineStr">
        <is>
          <t>Pernah kejadian di kantormu?</t>
        </is>
      </c>
      <c r="O40" s="17" t="inlineStr">
        <is>
          <t>— (cerita fiksi)</t>
        </is>
      </c>
      <c r="P40" s="15" t="n">
        <v>8</v>
      </c>
      <c r="Q40" s="15" t="n">
        <v>8</v>
      </c>
      <c r="R40" s="15" t="n">
        <v>6</v>
      </c>
      <c r="S40" s="15" t="n">
        <v>8</v>
      </c>
      <c r="T40" s="28">
        <f>ROUND(Q40*W_AW+R40*W_CV+S40*W_SH,1)</f>
        <v/>
      </c>
      <c r="U40" s="15">
        <f>ROUND((P40+S40)/2,1)</f>
        <v/>
      </c>
      <c r="V40" s="15">
        <f>RANK(T40,$T$2:$T$49)</f>
        <v/>
      </c>
      <c r="W40" s="17" t="inlineStr">
        <is>
          <t>Sedang</t>
        </is>
      </c>
      <c r="X40" s="17" t="inlineStr">
        <is>
          <t>Sedang. Cerita fiksi, beri label "ilustrasi"</t>
        </is>
      </c>
      <c r="Y40" s="17" t="inlineStr">
        <is>
          <t>Baru</t>
        </is>
      </c>
      <c r="Z40" s="17" t="inlineStr">
        <is>
          <t>Kapan saja</t>
        </is>
      </c>
      <c r="AA40" s="17">
        <f>T40+ROW()/100000</f>
        <v/>
      </c>
    </row>
    <row r="41" ht="120" customHeight="1">
      <c r="A41" s="9" t="inlineStr">
        <is>
          <t>A40</t>
        </is>
      </c>
      <c r="B41" s="14" t="inlineStr">
        <is>
          <t>Balas komentar: "DPO itu kerjanya apa?"</t>
        </is>
      </c>
      <c r="C41" s="5" t="inlineStr">
        <is>
          <t>Reply-to-comment TikTok</t>
        </is>
      </c>
      <c r="D41" s="5" t="inlineStr">
        <is>
          <t>Edukasi</t>
        </is>
      </c>
      <c r="E41" s="5" t="inlineStr">
        <is>
          <t>Awareness</t>
        </is>
      </c>
      <c r="F41" s="5" t="inlineStr">
        <is>
          <t>Umum</t>
        </is>
      </c>
      <c r="G41" s="5" t="inlineStr">
        <is>
          <t>TikTok 30–45 dtk</t>
        </is>
      </c>
      <c r="H41" s="5" t="inlineStr">
        <is>
          <t>"Balas @pengguna: 'DPO itu kerjanya apa sih?'"</t>
        </is>
      </c>
      <c r="I41" s="9" t="inlineStr">
        <is>
          <t>Relate</t>
        </is>
      </c>
      <c r="J41" s="5" t="inlineStr">
        <is>
          <t>3 poin (menasihati, memantau kepatuhan, jadi narahubung) + meme singkat tiap poin</t>
        </is>
      </c>
      <c r="K41" s="5" t="inlineStr">
        <is>
          <t>pop</t>
        </is>
      </c>
      <c r="L41" s="5" t="inlineStr">
        <is>
          <t>—</t>
        </is>
      </c>
      <c r="M41" s="5" t="inlineStr">
        <is>
          <t>Brand</t>
        </is>
      </c>
      <c r="N41" s="5" t="inlineStr">
        <is>
          <t>Follow untuk tips PDP</t>
        </is>
      </c>
      <c r="O41" s="5" t="inlineStr">
        <is>
          <t>UU PDP Ps. 54 (tugas PPDP)</t>
        </is>
      </c>
      <c r="P41" s="9" t="n">
        <v>7</v>
      </c>
      <c r="Q41" s="9" t="n">
        <v>7</v>
      </c>
      <c r="R41" s="9" t="n">
        <v>6</v>
      </c>
      <c r="S41" s="9" t="n">
        <v>7</v>
      </c>
      <c r="T41" s="29">
        <f>ROUND(Q41*W_AW+R41*W_CV+S41*W_SH,1)</f>
        <v/>
      </c>
      <c r="U41" s="9">
        <f>ROUND((P41+S41)/2,1)</f>
        <v/>
      </c>
      <c r="V41" s="9">
        <f>RANK(T41,$T$2:$T$49)</f>
        <v/>
      </c>
      <c r="W41" s="5" t="inlineStr">
        <is>
          <t>Rendah (talking head)</t>
        </is>
      </c>
      <c r="X41" s="5" t="inlineStr">
        <is>
          <t>Rendah</t>
        </is>
      </c>
      <c r="Y41" s="5" t="inlineStr">
        <is>
          <t>Baru</t>
        </is>
      </c>
      <c r="Z41" s="5" t="inlineStr">
        <is>
          <t>Kapan saja</t>
        </is>
      </c>
      <c r="AA41" s="5">
        <f>T41+ROW()/100000</f>
        <v/>
      </c>
    </row>
    <row r="42" ht="120" customHeight="1">
      <c r="A42" s="15" t="inlineStr">
        <is>
          <t>A41</t>
        </is>
      </c>
      <c r="B42" s="16" t="inlineStr">
        <is>
          <t>Sad violin: form RoPA yang tak pernah diisi</t>
        </is>
      </c>
      <c r="C42" s="17" t="inlineStr">
        <is>
          <t>Sad violin (melodi synth orisinal)</t>
        </is>
      </c>
      <c r="D42" s="17" t="inlineStr">
        <is>
          <t>Tools</t>
        </is>
      </c>
      <c r="E42" s="17" t="inlineStr">
        <is>
          <t>Awareness + Share</t>
        </is>
      </c>
      <c r="F42" s="17" t="inlineStr">
        <is>
          <t>DPO</t>
        </is>
      </c>
      <c r="G42" s="17" t="inlineStr">
        <is>
          <t>TikTok/Reels 15 dtk</t>
        </is>
      </c>
      <c r="H42" s="17" t="inlineStr">
        <is>
          <t>"Kisah sedih form RoPA yang dikirim ke 12 divisi"</t>
        </is>
      </c>
      <c r="I42" s="15" t="inlineStr">
        <is>
          <t>Relate</t>
        </is>
      </c>
      <c r="J42" s="17" t="inlineStr">
        <is>
          <t>Hari 1: dibaca ✓✓ tak dibalas… hari 30 (sad violin) → Nexus: alur + pengingat + pengisian berbantuan AI</t>
        </is>
      </c>
      <c r="K42" s="17" t="inlineStr">
        <is>
          <t>sad violin (synth) · jangkrik</t>
        </is>
      </c>
      <c r="L42" s="17" t="inlineStr">
        <is>
          <t>Pesan suara: efek "telepon"</t>
        </is>
      </c>
      <c r="M42" s="17" t="inlineStr">
        <is>
          <t>RoPA (isi otomatis berbantuan AI)</t>
        </is>
      </c>
      <c r="N42" s="17" t="inlineStr">
        <is>
          <t>privasimu.com</t>
        </is>
      </c>
      <c r="O42" s="17" t="inlineStr">
        <is>
          <t>fakta_produk: ropa (pengisian otomatis berbantuan AI)</t>
        </is>
      </c>
      <c r="P42" s="15" t="n">
        <v>9</v>
      </c>
      <c r="Q42" s="15" t="n">
        <v>7</v>
      </c>
      <c r="R42" s="15" t="n">
        <v>6</v>
      </c>
      <c r="S42" s="15" t="n">
        <v>8</v>
      </c>
      <c r="T42" s="28">
        <f>ROUND(Q42*W_AW+R42*W_CV+S42*W_SH,1)</f>
        <v/>
      </c>
      <c r="U42" s="15">
        <f>ROUND((P42+S42)/2,1)</f>
        <v/>
      </c>
      <c r="V42" s="15">
        <f>RANK(T42,$T$2:$T$49)</f>
        <v/>
      </c>
      <c r="W42" s="17" t="inlineStr">
        <is>
          <t>Rendah</t>
        </is>
      </c>
      <c r="X42" s="17" t="inlineStr">
        <is>
          <t>Rendah</t>
        </is>
      </c>
      <c r="Y42" s="17" t="inlineStr">
        <is>
          <t>Baru</t>
        </is>
      </c>
      <c r="Z42" s="17" t="inlineStr">
        <is>
          <t>Kapan saja</t>
        </is>
      </c>
      <c r="AA42" s="17">
        <f>T42+ROW()/100000</f>
        <v/>
      </c>
    </row>
    <row r="43" ht="120" customHeight="1">
      <c r="A43" s="9" t="inlineStr">
        <is>
          <t>A42</t>
        </is>
      </c>
      <c r="B43" s="14" t="inlineStr">
        <is>
          <t>Siapa yang punya akses ke data ini? Dun dun dun</t>
        </is>
      </c>
      <c r="C43" s="5" t="inlineStr">
        <is>
          <t>Dramatic reveal</t>
        </is>
      </c>
      <c r="D43" s="5" t="inlineStr">
        <is>
          <t>Tools</t>
        </is>
      </c>
      <c r="E43" s="5" t="inlineStr">
        <is>
          <t>Awareness</t>
        </is>
      </c>
      <c r="F43" s="5" t="inlineStr">
        <is>
          <t>IT, DPO</t>
        </is>
      </c>
      <c r="G43" s="5" t="inlineStr">
        <is>
          <t>Reels/LinkedIn 15 dtk</t>
        </is>
      </c>
      <c r="H43" s="5" t="inlineStr">
        <is>
          <t>"Siapa yang punya akses ke data pelanggan?"</t>
        </is>
      </c>
      <c r="I43" s="9" t="inlineStr">
        <is>
          <t>Anomali</t>
        </is>
      </c>
      <c r="J43" s="5" t="inlineStr">
        <is>
          <t>Daftar akses membengkak ("akun magang 2019 masih aktif") dun dun dun → log audit Nexus untuk aktor manusia &amp; AI</t>
        </is>
      </c>
      <c r="K43" s="5" t="inlineStr">
        <is>
          <t>dun dun dun</t>
        </is>
      </c>
      <c r="L43" s="5" t="inlineStr">
        <is>
          <t>—</t>
        </is>
      </c>
      <c r="M43" s="5" t="inlineStr">
        <is>
          <t>Log audit</t>
        </is>
      </c>
      <c r="N43" s="5" t="inlineStr">
        <is>
          <t>Minta demo</t>
        </is>
      </c>
      <c r="O43" s="5" t="inlineStr">
        <is>
          <t>fakta_produk: platform (log audit), dukungan PPDP</t>
        </is>
      </c>
      <c r="P43" s="9" t="n">
        <v>7</v>
      </c>
      <c r="Q43" s="9" t="n">
        <v>6</v>
      </c>
      <c r="R43" s="9" t="n">
        <v>7</v>
      </c>
      <c r="S43" s="9" t="n">
        <v>6</v>
      </c>
      <c r="T43" s="29">
        <f>ROUND(Q43*W_AW+R43*W_CV+S43*W_SH,1)</f>
        <v/>
      </c>
      <c r="U43" s="9">
        <f>ROUND((P43+S43)/2,1)</f>
        <v/>
      </c>
      <c r="V43" s="9">
        <f>RANK(T43,$T$2:$T$49)</f>
        <v/>
      </c>
      <c r="W43" s="5" t="inlineStr">
        <is>
          <t>Rendah</t>
        </is>
      </c>
      <c r="X43" s="5" t="inlineStr">
        <is>
          <t>Rendah</t>
        </is>
      </c>
      <c r="Y43" s="5" t="inlineStr">
        <is>
          <t>Baru</t>
        </is>
      </c>
      <c r="Z43" s="5" t="inlineStr">
        <is>
          <t>Kapan saja</t>
        </is>
      </c>
      <c r="AA43" s="5">
        <f>T43+ROW()/100000</f>
        <v/>
      </c>
    </row>
    <row r="44" ht="120" customHeight="1">
      <c r="A44" s="15" t="inlineStr">
        <is>
          <t>A43</t>
        </is>
      </c>
      <c r="B44" s="16" t="inlineStr">
        <is>
          <t>−999 aura: kebiasaan data di kantor</t>
        </is>
      </c>
      <c r="C44" s="17" t="inlineStr">
        <is>
          <t>Poin aura (slang 2026)</t>
        </is>
      </c>
      <c r="D44" s="17" t="inlineStr">
        <is>
          <t>Brand / edukasi</t>
        </is>
      </c>
      <c r="E44" s="17" t="inlineStr">
        <is>
          <t>Share</t>
        </is>
      </c>
      <c r="F44" s="17" t="inlineStr">
        <is>
          <t>Karyawan</t>
        </is>
      </c>
      <c r="G44" s="17" t="inlineStr">
        <is>
          <t>TikTok/Reels 15 dtk</t>
        </is>
      </c>
      <c r="H44" s="17" t="inlineStr">
        <is>
          <t>"−999 aura: kirim KTP pelanggan lewat grup"</t>
        </is>
      </c>
      <c r="I44" s="15" t="inlineStr">
        <is>
          <t>Relate</t>
        </is>
      </c>
      <c r="J44" s="17" t="inlineStr">
        <is>
          <t>Rentetan −aura/+aura cepat → +1000 aura: pakai Nexus</t>
        </is>
      </c>
      <c r="K44" s="17" t="inlineStr">
        <is>
          <t>auraDown/auraUp · vine boom</t>
        </is>
      </c>
      <c r="L44" s="17" t="inlineStr">
        <is>
          <t>—</t>
        </is>
      </c>
      <c r="M44" s="17" t="inlineStr">
        <is>
          <t>Brand</t>
        </is>
      </c>
      <c r="N44" s="17" t="inlineStr">
        <is>
          <t>Aura kantormu berapa?</t>
        </is>
      </c>
      <c r="O44" s="17" t="inlineStr">
        <is>
          <t>—</t>
        </is>
      </c>
      <c r="P44" s="15" t="n">
        <v>9</v>
      </c>
      <c r="Q44" s="15" t="n">
        <v>9</v>
      </c>
      <c r="R44" s="15" t="n">
        <v>5</v>
      </c>
      <c r="S44" s="15" t="n">
        <v>9</v>
      </c>
      <c r="T44" s="28">
        <f>ROUND(Q44*W_AW+R44*W_CV+S44*W_SH,1)</f>
        <v/>
      </c>
      <c r="U44" s="15">
        <f>ROUND((P44+S44)/2,1)</f>
        <v/>
      </c>
      <c r="V44" s="15">
        <f>RANK(T44,$T$2:$T$49)</f>
        <v/>
      </c>
      <c r="W44" s="17" t="inlineStr">
        <is>
          <t>Rendah</t>
        </is>
      </c>
      <c r="X44" s="17" t="inlineStr">
        <is>
          <t>Rendah</t>
        </is>
      </c>
      <c r="Y44" s="17" t="inlineStr">
        <is>
          <t>Baru (kit N11)</t>
        </is>
      </c>
      <c r="Z44" s="17" t="inlineStr">
        <is>
          <t>Okt 2026</t>
        </is>
      </c>
      <c r="AA44" s="17">
        <f>T44+ROW()/100000</f>
        <v/>
      </c>
    </row>
    <row r="45" ht="120" customHeight="1">
      <c r="A45" s="9" t="inlineStr">
        <is>
          <t>A44</t>
        </is>
      </c>
      <c r="B45" s="14" t="inlineStr">
        <is>
          <t>Cooked vs chill: jam 3 pagi</t>
        </is>
      </c>
      <c r="C45" s="5" t="inlineStr">
        <is>
          <t>Split-screen</t>
        </is>
      </c>
      <c r="D45" s="5" t="inlineStr">
        <is>
          <t>Tools</t>
        </is>
      </c>
      <c r="E45" s="5" t="inlineStr">
        <is>
          <t>Konversi</t>
        </is>
      </c>
      <c r="F45" s="5" t="inlineStr">
        <is>
          <t>DPO, CISO</t>
        </is>
      </c>
      <c r="G45" s="5" t="inlineStr">
        <is>
          <t>Reels/LinkedIn 15 dtk</t>
        </is>
      </c>
      <c r="H45" s="5" t="inlineStr">
        <is>
          <t>"Jam 3 pagi, insiden. DPO A vs DPO B:"</t>
        </is>
      </c>
      <c r="I45" s="9" t="inlineStr">
        <is>
          <t>Relate</t>
        </is>
      </c>
      <c r="J45" s="5" t="inlineStr">
        <is>
          <t>Kiri: cooked (tanpa alur) "FAAAH" / kanan: chill (checklist &amp; templat siap di Nexus)</t>
        </is>
      </c>
      <c r="K45" s="5" t="inlineStr">
        <is>
          <t>"FAAAH" (rekam tim) · centang</t>
        </is>
      </c>
      <c r="L45" s="5" t="inlineStr">
        <is>
          <t>—</t>
        </is>
      </c>
      <c r="M45" s="5" t="inlineStr">
        <is>
          <t>Manajemen Insiden</t>
        </is>
      </c>
      <c r="N45" s="5" t="inlineStr">
        <is>
          <t>Minta demo</t>
        </is>
      </c>
      <c r="O45" s="5" t="inlineStr">
        <is>
          <t>fakta_produk: breach (checklist &amp; linimasa otomatis)</t>
        </is>
      </c>
      <c r="P45" s="9" t="n">
        <v>8</v>
      </c>
      <c r="Q45" s="9" t="n">
        <v>8</v>
      </c>
      <c r="R45" s="9" t="n">
        <v>8</v>
      </c>
      <c r="S45" s="9" t="n">
        <v>7</v>
      </c>
      <c r="T45" s="29">
        <f>ROUND(Q45*W_AW+R45*W_CV+S45*W_SH,1)</f>
        <v/>
      </c>
      <c r="U45" s="9">
        <f>ROUND((P45+S45)/2,1)</f>
        <v/>
      </c>
      <c r="V45" s="9">
        <f>RANK(T45,$T$2:$T$49)</f>
        <v/>
      </c>
      <c r="W45" s="5" t="inlineStr">
        <is>
          <t>Rendah</t>
        </is>
      </c>
      <c r="X45" s="5" t="inlineStr">
        <is>
          <t>Rendah</t>
        </is>
      </c>
      <c r="Y45" s="5" t="inlineStr">
        <is>
          <t>Baru</t>
        </is>
      </c>
      <c r="Z45" s="5" t="inlineStr">
        <is>
          <t>Nov 2026</t>
        </is>
      </c>
      <c r="AA45" s="5">
        <f>T45+ROW()/100000</f>
        <v/>
      </c>
    </row>
    <row r="46" ht="120" customHeight="1">
      <c r="A46" s="15" t="inlineStr">
        <is>
          <t>A45</t>
        </is>
      </c>
      <c r="B46" s="16" t="inlineStr">
        <is>
          <t>Dasar pemrosesannya apa? "Adalah pokoknya."</t>
        </is>
      </c>
      <c r="C46" s="17" t="inlineStr">
        <is>
          <t>Frasa viral "adalah pokoknya" (2026)</t>
        </is>
      </c>
      <c r="D46" s="17" t="inlineStr">
        <is>
          <t>Edukasi + Tools</t>
        </is>
      </c>
      <c r="E46" s="17" t="inlineStr">
        <is>
          <t>Awareness + Share</t>
        </is>
      </c>
      <c r="F46" s="17" t="inlineStr">
        <is>
          <t>Marketing, product, DPO</t>
        </is>
      </c>
      <c r="G46" s="17" t="inlineStr">
        <is>
          <t>TikTok/Reels 15–20 dtk</t>
        </is>
      </c>
      <c r="H46" s="17" t="inlineStr">
        <is>
          <t>"Dasar pemrosesannya apa?" "Adalah pokoknya."</t>
        </is>
      </c>
      <c r="I46" s="15" t="inlineStr">
        <is>
          <t>Logika dipatahkan</t>
        </is>
      </c>
      <c r="J46" s="17" t="inlineStr">
        <is>
          <t>"FAAAH" → 6 dasar pemrosesan UU PDP → wizard RoPA menanyakannya satu per satu</t>
        </is>
      </c>
      <c r="K46" s="17" t="inlineStr">
        <is>
          <t>"FAAAH" (rekam tim) · pop ×6</t>
        </is>
      </c>
      <c r="L46" s="17" t="inlineStr">
        <is>
          <t>—</t>
        </is>
      </c>
      <c r="M46" s="17" t="inlineStr">
        <is>
          <t>Wizard RoPA</t>
        </is>
      </c>
      <c r="N46" s="17" t="inlineStr">
        <is>
          <t>Simpan buat referensi</t>
        </is>
      </c>
      <c r="O46" s="17" t="inlineStr">
        <is>
          <t>UU PDP Ps. 20 ayat (2): 6 dasar pemrosesan</t>
        </is>
      </c>
      <c r="P46" s="15" t="n">
        <v>8</v>
      </c>
      <c r="Q46" s="15" t="n">
        <v>8</v>
      </c>
      <c r="R46" s="15" t="n">
        <v>6</v>
      </c>
      <c r="S46" s="15" t="n">
        <v>8</v>
      </c>
      <c r="T46" s="28">
        <f>ROUND(Q46*W_AW+R46*W_CV+S46*W_SH,1)</f>
        <v/>
      </c>
      <c r="U46" s="15">
        <f>ROUND((P46+S46)/2,1)</f>
        <v/>
      </c>
      <c r="V46" s="15">
        <f>RANK(T46,$T$2:$T$49)</f>
        <v/>
      </c>
      <c r="W46" s="17" t="inlineStr">
        <is>
          <t>Rendah</t>
        </is>
      </c>
      <c r="X46" s="17" t="inlineStr">
        <is>
          <t>Rendah</t>
        </is>
      </c>
      <c r="Y46" s="17" t="inlineStr">
        <is>
          <t>Baru</t>
        </is>
      </c>
      <c r="Z46" s="17" t="inlineStr">
        <is>
          <t>Kapan saja</t>
        </is>
      </c>
      <c r="AA46" s="17">
        <f>T46+ROW()/100000</f>
        <v/>
      </c>
    </row>
    <row r="47" ht="120" customHeight="1">
      <c r="A47" s="9" t="inlineStr">
        <is>
          <t>A46</t>
        </is>
      </c>
      <c r="B47" s="14" t="inlineStr">
        <is>
          <t>5 tanda perusahaanmu belum siap PP 33</t>
        </is>
      </c>
      <c r="C47" s="5" t="inlineStr">
        <is>
          <t>Carousel LinkedIn</t>
        </is>
      </c>
      <c r="D47" s="5" t="inlineStr">
        <is>
          <t>Konsultasi</t>
        </is>
      </c>
      <c r="E47" s="5" t="inlineStr">
        <is>
          <t>Konversi</t>
        </is>
      </c>
      <c r="F47" s="5" t="inlineStr">
        <is>
          <t>Direksi, DPO</t>
        </is>
      </c>
      <c r="G47" s="5" t="inlineStr">
        <is>
          <t>Carousel 6 slide</t>
        </is>
      </c>
      <c r="H47" s="5" t="inlineStr">
        <is>
          <t>"5 tanda perusahaanmu belum siap PP 33"</t>
        </is>
      </c>
      <c r="I47" s="9" t="inlineStr">
        <is>
          <t>Relate</t>
        </is>
      </c>
      <c r="J47" s="5" t="inlineStr">
        <is>
          <t>5 tanda + solusi → CTA</t>
        </is>
      </c>
      <c r="K47" s="5" t="inlineStr">
        <is>
          <t>—</t>
        </is>
      </c>
      <c r="L47" s="5" t="inlineStr">
        <is>
          <t>—</t>
        </is>
      </c>
      <c r="M47" s="5" t="inlineStr">
        <is>
          <t>GAP, program siap PP 33</t>
        </is>
      </c>
      <c r="N47" s="5" t="inlineStr">
        <is>
          <t>Start Pre Check (gratis)</t>
        </is>
      </c>
      <c r="O47" s="5" t="inlineStr">
        <is>
          <t>PP 33/2026 (225 pasal), berlaku 16 Jan 2027</t>
        </is>
      </c>
      <c r="P47" s="9" t="n">
        <v>7</v>
      </c>
      <c r="Q47" s="9" t="n">
        <v>6</v>
      </c>
      <c r="R47" s="9" t="n">
        <v>8</v>
      </c>
      <c r="S47" s="9" t="n">
        <v>7</v>
      </c>
      <c r="T47" s="29">
        <f>ROUND(Q47*W_AW+R47*W_CV+S47*W_SH,1)</f>
        <v/>
      </c>
      <c r="U47" s="9">
        <f>ROUND((P47+S47)/2,1)</f>
        <v/>
      </c>
      <c r="V47" s="9">
        <f>RANK(T47,$T$2:$T$49)</f>
        <v/>
      </c>
      <c r="W47" s="5" t="inlineStr">
        <is>
          <t>Rendah</t>
        </is>
      </c>
      <c r="X47" s="5" t="inlineStr">
        <is>
          <t>Rendah</t>
        </is>
      </c>
      <c r="Y47" s="5" t="inlineStr">
        <is>
          <t>Baru</t>
        </is>
      </c>
      <c r="Z47" s="5" t="inlineStr">
        <is>
          <t>Nov 2026</t>
        </is>
      </c>
      <c r="AA47" s="5">
        <f>T47+ROW()/100000</f>
        <v/>
      </c>
    </row>
    <row r="48" ht="120" customHeight="1">
      <c r="A48" s="15" t="inlineStr">
        <is>
          <t>A47</t>
        </is>
      </c>
      <c r="B48" s="16" t="inlineStr">
        <is>
          <t>Roasting RoPA (live)</t>
        </is>
      </c>
      <c r="C48" s="17" t="inlineStr">
        <is>
          <t>Roasting (live/webinar) + klip</t>
        </is>
      </c>
      <c r="D48" s="17" t="inlineStr">
        <is>
          <t>Konsultasi</t>
        </is>
      </c>
      <c r="E48" s="17" t="inlineStr">
        <is>
          <t>Konversi + Share</t>
        </is>
      </c>
      <c r="F48" s="17" t="inlineStr">
        <is>
          <t>DPO, legal</t>
        </is>
      </c>
      <c r="G48" s="17" t="inlineStr">
        <is>
          <t>Live 45–60 mnt + klip 30 dtk</t>
        </is>
      </c>
      <c r="H48" s="17" t="inlineStr">
        <is>
          <t>"Kirim RoPA versi dummy-mu, kami roasting live"</t>
        </is>
      </c>
      <c r="I48" s="15" t="inlineStr">
        <is>
          <t>Reverse psychology</t>
        </is>
      </c>
      <c r="J48" s="17" t="inlineStr">
        <is>
          <t>Konsultan Privasimu me-review contoh RoPA anonim dengan humor → tunjukkan versi Nexus</t>
        </is>
      </c>
      <c r="K48" s="17" t="inlineStr">
        <is>
          <t>live</t>
        </is>
      </c>
      <c r="L48" s="17" t="inlineStr">
        <is>
          <t>—</t>
        </is>
      </c>
      <c r="M48" s="17" t="inlineStr">
        <is>
          <t>Konsultasi + RoPA</t>
        </is>
      </c>
      <c r="N48" s="17" t="inlineStr">
        <is>
          <t>Daftar sesi berikutnya</t>
        </is>
      </c>
      <c r="O48" s="17" t="inlineStr">
        <is>
          <t>—</t>
        </is>
      </c>
      <c r="P48" s="15" t="n">
        <v>8</v>
      </c>
      <c r="Q48" s="15" t="n">
        <v>7</v>
      </c>
      <c r="R48" s="15" t="n">
        <v>9</v>
      </c>
      <c r="S48" s="15" t="n">
        <v>8</v>
      </c>
      <c r="T48" s="28">
        <f>ROUND(Q48*W_AW+R48*W_CV+S48*W_SH,1)</f>
        <v/>
      </c>
      <c r="U48" s="15">
        <f>ROUND((P48+S48)/2,1)</f>
        <v/>
      </c>
      <c r="V48" s="15">
        <f>RANK(T48,$T$2:$T$49)</f>
        <v/>
      </c>
      <c r="W48" s="17" t="inlineStr">
        <is>
          <t>Tinggi</t>
        </is>
      </c>
      <c r="X48" s="17" t="inlineStr">
        <is>
          <t>Sedang. WAJIB data dummy/anonim; peserta setuju direkam</t>
        </is>
      </c>
      <c r="Y48" s="17" t="inlineStr">
        <is>
          <t>Baru</t>
        </is>
      </c>
      <c r="Z48" s="17" t="inlineStr">
        <is>
          <t>Nov–Des 2026</t>
        </is>
      </c>
      <c r="AA48" s="17">
        <f>T48+ROW()/100000</f>
        <v/>
      </c>
    </row>
    <row r="49" ht="120" customHeight="1">
      <c r="A49" s="9" t="inlineStr">
        <is>
          <t>A48</t>
        </is>
      </c>
      <c r="B49" s="14" t="inlineStr">
        <is>
          <t>#RoPA60Detik challenge</t>
        </is>
      </c>
      <c r="C49" s="5" t="inlineStr">
        <is>
          <t>Speedrun challenge</t>
        </is>
      </c>
      <c r="D49" s="5" t="inlineStr">
        <is>
          <t>Tools</t>
        </is>
      </c>
      <c r="E49" s="5" t="inlineStr">
        <is>
          <t>Awareness + Konversi</t>
        </is>
      </c>
      <c r="F49" s="5" t="inlineStr">
        <is>
          <t>DPO, legal</t>
        </is>
      </c>
      <c r="G49" s="5" t="inlineStr">
        <is>
          <t>TikTok/Reels 30–60 dtk</t>
        </is>
      </c>
      <c r="H49" s="5" t="inlineStr">
        <is>
          <t>"Bisa isi 1 RoPA dalam 60 detik?"</t>
        </is>
      </c>
      <c r="I49" s="9" t="inlineStr">
        <is>
          <t>Reverse psychology</t>
        </is>
      </c>
      <c r="J49" s="5" t="inlineStr">
        <is>
          <t>Timer 60 dtk: wizard RoPA + isi otomatis AI → selesai → tantang rekan</t>
        </is>
      </c>
      <c r="K49" s="5" t="inlineStr">
        <is>
          <t>detak jam · level up</t>
        </is>
      </c>
      <c r="L49" s="5" t="inlineStr">
        <is>
          <t>—</t>
        </is>
      </c>
      <c r="M49" s="5" t="inlineStr">
        <is>
          <t>RoPA (isi otomatis AI)</t>
        </is>
      </c>
      <c r="N49" s="5" t="inlineStr">
        <is>
          <t>Coba di demo, tag rekanmu</t>
        </is>
      </c>
      <c r="O49" s="5" t="inlineStr">
        <is>
          <t>fakta_produk: ropa (isi otomatis AI). Catatan waktu HARUS diukur nyata sebelum diklaim</t>
        </is>
      </c>
      <c r="P49" s="9" t="n">
        <v>7</v>
      </c>
      <c r="Q49" s="9" t="n">
        <v>8</v>
      </c>
      <c r="R49" s="9" t="n">
        <v>8</v>
      </c>
      <c r="S49" s="9" t="n">
        <v>8</v>
      </c>
      <c r="T49" s="29">
        <f>ROUND(Q49*W_AW+R49*W_CV+S49*W_SH,1)</f>
        <v/>
      </c>
      <c r="U49" s="9">
        <f>ROUND((P49+S49)/2,1)</f>
        <v/>
      </c>
      <c r="V49" s="9">
        <f>RANK(T49,$T$2:$T$49)</f>
        <v/>
      </c>
      <c r="W49" s="5" t="inlineStr">
        <is>
          <t>Sedang (rekam layar demo)</t>
        </is>
      </c>
      <c r="X49" s="5" t="inlineStr">
        <is>
          <t>Sedang. Klaim waktu harus terukur</t>
        </is>
      </c>
      <c r="Y49" s="5" t="inlineStr">
        <is>
          <t>Baru</t>
        </is>
      </c>
      <c r="Z49" s="5" t="inlineStr">
        <is>
          <t>Nov 2026</t>
        </is>
      </c>
      <c r="AA49" s="5">
        <f>T49+ROW()/100000</f>
        <v/>
      </c>
    </row>
  </sheetData>
  <autoFilter ref="A1:Z49"/>
  <conditionalFormatting sqref="P2:P49">
    <cfRule type="colorScale" priority="1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Q2:Q49">
    <cfRule type="colorScale" priority="2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R2:R49">
    <cfRule type="colorScale" priority="3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S2:S49">
    <cfRule type="colorScale" priority="4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T2:T49">
    <cfRule type="colorScale" priority="5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U2:U49">
    <cfRule type="colorScale" priority="6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dataValidations count="5">
    <dataValidation sqref="P2:P49" showDropDown="0" showInputMessage="0" showErrorMessage="0" allowBlank="0" error="Skor 1–10" type="whole" operator="between">
      <formula1>1</formula1>
      <formula2>10</formula2>
    </dataValidation>
    <dataValidation sqref="Q2:Q49" showDropDown="0" showInputMessage="0" showErrorMessage="0" allowBlank="0" error="Skor 1–10" type="whole" operator="between">
      <formula1>1</formula1>
      <formula2>10</formula2>
    </dataValidation>
    <dataValidation sqref="R2:R49" showDropDown="0" showInputMessage="0" showErrorMessage="0" allowBlank="0" error="Skor 1–10" type="whole" operator="between">
      <formula1>1</formula1>
      <formula2>10</formula2>
    </dataValidation>
    <dataValidation sqref="S2:S49" showDropDown="0" showInputMessage="0" showErrorMessage="0" allowBlank="0" error="Skor 1–10" type="whole" operator="between">
      <formula1>1</formula1>
      <formula2>10</formula2>
    </dataValidation>
    <dataValidation sqref="I2:I49" showDropDown="0" showInputMessage="0" showErrorMessage="0" allowBlank="1" type="list">
      <formula1>"Reverse psychology,Relate,Anomali,Logika dipatahkan"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2" customWidth="1" min="2" max="2"/>
    <col width="12" customWidth="1" min="3" max="3"/>
    <col width="50" customWidth="1" min="4" max="4"/>
    <col width="16" customWidth="1" min="5" max="5"/>
    <col width="56" customWidth="1" min="6" max="6"/>
  </cols>
  <sheetData>
    <row r="1">
      <c r="A1" s="10" t="inlineStr">
        <is>
          <t>Inventaris screenshot per modul</t>
        </is>
      </c>
    </row>
    <row r="2" ht="46" customHeight="1">
      <c r="A2" s="2" t="inlineStr">
        <is>
          <t>Semua path relatif dari D:\AI\privasimu. Screenshot = tampilan frontend LAMA (boleh dipakai). "Kurasi" = motion/assets/app (sudah crop &amp; blur, siap pakai; dibuat oleh motion/lib/app-shots.js). "Data demo" = dataroom/03-tenant (lebar 1264): Blur blok user sidebar [0,470,262,140] atau crop mulai x=262. "UI terbaru" = frontend/tmp/audit4 (lebar 1440, org uji &amp; banyak yang kosong): Blur nama org [300,22,200,26]; buang sidebar (x&lt;200).</t>
        </is>
      </c>
    </row>
    <row r="4" ht="34" customHeight="1">
      <c r="A4" s="3" t="inlineStr">
        <is>
          <t>Modul</t>
        </is>
      </c>
      <c r="B4" s="3" t="inlineStr">
        <is>
          <t>Path</t>
        </is>
      </c>
      <c r="C4" s="3" t="inlineStr">
        <is>
          <t>Sumber</t>
        </is>
      </c>
      <c r="D4" s="3" t="inlineStr">
        <is>
          <t>Isi</t>
        </is>
      </c>
      <c r="E4" s="3" t="inlineStr">
        <is>
          <t>Status</t>
        </is>
      </c>
      <c r="F4" s="3" t="inlineStr">
        <is>
          <t>Catatan crop / blur</t>
        </is>
      </c>
    </row>
    <row r="5" ht="38" customHeight="1">
      <c r="A5" s="14" t="inlineStr">
        <is>
          <t>Dasbor</t>
        </is>
      </c>
      <c r="B5" s="5" t="inlineStr">
        <is>
          <t>motion/assets/app/dashboard.png</t>
        </is>
      </c>
      <c r="C5" s="9" t="inlineStr">
        <is>
          <t>Kurasi</t>
        </is>
      </c>
      <c r="D5" s="5" t="inlineStr">
        <is>
          <t>Sambutan, skor GAP 81%, DSR, insiden, ringkasan modul</t>
        </is>
      </c>
      <c r="E5" s="30" t="inlineStr">
        <is>
          <t>Siap</t>
        </is>
      </c>
      <c r="F5" s="5" t="inlineStr">
        <is>
          <t>Sudah crop &amp; blur</t>
        </is>
      </c>
    </row>
    <row r="6" ht="38" customHeight="1">
      <c r="A6" s="14" t="inlineStr">
        <is>
          <t>Dasbor</t>
        </is>
      </c>
      <c r="B6" s="5" t="inlineStr">
        <is>
          <t>motion/assets/app/dashboard-postur.png</t>
        </is>
      </c>
      <c r="C6" s="9" t="inlineStr">
        <is>
          <t>Kurasi</t>
        </is>
      </c>
      <c r="D6" s="5" t="inlineStr">
        <is>
          <t>Tren bulanan + Compliance Score</t>
        </is>
      </c>
      <c r="E6" s="30" t="inlineStr">
        <is>
          <t>Siap</t>
        </is>
      </c>
      <c r="F6" s="5" t="inlineStr"/>
    </row>
    <row r="7" ht="38" customHeight="1">
      <c r="A7" s="14" t="inlineStr">
        <is>
          <t>Dasbor</t>
        </is>
      </c>
      <c r="B7" s="5" t="inlineStr">
        <is>
          <t>motion/assets/app/dashboard-risiko.png</t>
        </is>
      </c>
      <c r="C7" s="9" t="inlineStr">
        <is>
          <t>Kurasi</t>
        </is>
      </c>
      <c r="D7" s="5" t="inlineStr">
        <is>
          <t>Heatmap DPIA 5×5 + Top Risks</t>
        </is>
      </c>
      <c r="E7" s="30" t="inlineStr">
        <is>
          <t>Siap</t>
        </is>
      </c>
      <c r="F7" s="5" t="inlineStr"/>
    </row>
    <row r="8" ht="38" customHeight="1">
      <c r="A8" s="14" t="inlineStr">
        <is>
          <t>Dasbor</t>
        </is>
      </c>
      <c r="B8" s="5" t="inlineStr">
        <is>
          <t>motion/assets/app/dashboard-sla.png</t>
        </is>
      </c>
      <c r="C8" s="9" t="inlineStr">
        <is>
          <t>Kurasi</t>
        </is>
      </c>
      <c r="D8" s="5" t="inlineStr">
        <is>
          <t>Waktu respons DSR, linimasa insiden, adopsi consent</t>
        </is>
      </c>
      <c r="E8" s="30" t="inlineStr">
        <is>
          <t>Siap</t>
        </is>
      </c>
      <c r="F8" s="5" t="inlineStr"/>
    </row>
    <row r="9" ht="38" customHeight="1">
      <c r="A9" s="14" t="inlineStr">
        <is>
          <t>Postur privasi</t>
        </is>
      </c>
      <c r="B9" s="5" t="inlineStr">
        <is>
          <t>frontend/tmp/audit4/security.png</t>
        </is>
      </c>
      <c r="C9" s="9" t="inlineStr">
        <is>
          <t>UI terbaru</t>
        </is>
      </c>
      <c r="D9" s="5" t="inlineStr">
        <is>
          <t>Privacy Posture Score 56 "Cukup", 3 lapisan, tren 30 hari</t>
        </is>
      </c>
      <c r="E9" s="31" t="inlineStr">
        <is>
          <t>Perlu blur</t>
        </is>
      </c>
      <c r="F9" s="5" t="inlineStr">
        <is>
          <t>Blur nama org [300,22,200,26]; buang sidebar (x&lt;200)</t>
        </is>
      </c>
    </row>
    <row r="10" ht="38" customHeight="1">
      <c r="A10" s="14" t="inlineStr">
        <is>
          <t>Postur privasi</t>
        </is>
      </c>
      <c r="B10" s="5" t="inlineStr">
        <is>
          <t>dataroom/03-tenant/security/01-overview.png</t>
        </is>
      </c>
      <c r="C10" s="9" t="inlineStr">
        <is>
          <t>Data demo</t>
        </is>
      </c>
      <c r="D10" s="5" t="inlineStr">
        <is>
          <t>Skor 33 "Critical" (cocok untuk adegan "masalah")</t>
        </is>
      </c>
      <c r="E10" s="31" t="inlineStr">
        <is>
          <t>Perlu blur</t>
        </is>
      </c>
      <c r="F10" s="5" t="inlineStr">
        <is>
          <t>Blur blok user sidebar [0,470,262,140] atau crop mulai x=262</t>
        </is>
      </c>
    </row>
    <row r="11" ht="38" customHeight="1">
      <c r="A11" s="14" t="inlineStr">
        <is>
          <t>GAP</t>
        </is>
      </c>
      <c r="B11" s="5" t="inlineStr">
        <is>
          <t>dataroom/03-tenant/gap-assessment/01-overview.png</t>
        </is>
      </c>
      <c r="C11" s="9" t="inlineStr">
        <is>
          <t>Data demo</t>
        </is>
      </c>
      <c r="D11" s="5" t="inlineStr">
        <is>
          <t>4 asesmen, skor 81% &amp; 73%, grafik</t>
        </is>
      </c>
      <c r="E11" s="31" t="inlineStr">
        <is>
          <t>Perlu blur</t>
        </is>
      </c>
      <c r="F11" s="5" t="inlineStr">
        <is>
          <t>Blur blok user sidebar [0,470,262,140] atau crop mulai x=262</t>
        </is>
      </c>
    </row>
    <row r="12" ht="38" customHeight="1">
      <c r="A12" s="14" t="inlineStr">
        <is>
          <t>GAP</t>
        </is>
      </c>
      <c r="B12" s="5" t="inlineStr">
        <is>
          <t>motion/assets/app/gap-hasil.png</t>
        </is>
      </c>
      <c r="C12" s="9" t="inlineStr">
        <is>
          <t>Kurasi</t>
        </is>
      </c>
      <c r="D12" s="5" t="inlineStr">
        <is>
          <t>Hasil 81% + statistik per area</t>
        </is>
      </c>
      <c r="E12" s="30" t="inlineStr">
        <is>
          <t>Siap</t>
        </is>
      </c>
      <c r="F12" s="5" t="inlineStr"/>
    </row>
    <row r="13" ht="38" customHeight="1">
      <c r="A13" s="14" t="inlineStr">
        <is>
          <t>GAP</t>
        </is>
      </c>
      <c r="B13" s="5" t="inlineStr">
        <is>
          <t>motion/assets/app/gap-rekomendasi.png</t>
        </is>
      </c>
      <c r="C13" s="9" t="inlineStr">
        <is>
          <t>Kurasi</t>
        </is>
      </c>
      <c r="D13" s="5" t="inlineStr">
        <is>
          <t>Rekomendasi per pasal + AI Remediation Plan</t>
        </is>
      </c>
      <c r="E13" s="30" t="inlineStr">
        <is>
          <t>Siap</t>
        </is>
      </c>
      <c r="F13" s="5" t="inlineStr"/>
    </row>
    <row r="14" ht="38" customHeight="1">
      <c r="A14" s="14" t="inlineStr">
        <is>
          <t>Maturity</t>
        </is>
      </c>
      <c r="B14" s="5" t="inlineStr">
        <is>
          <t>dataroom/03-tenant/maturity/02-recheck.png</t>
        </is>
      </c>
      <c r="C14" s="9" t="inlineStr">
        <is>
          <t>Data demo</t>
        </is>
      </c>
      <c r="D14" s="5" t="inlineStr">
        <is>
          <t>Level 3 – Managed, skor domain, tren</t>
        </is>
      </c>
      <c r="E14" s="31" t="inlineStr">
        <is>
          <t>Perlu blur</t>
        </is>
      </c>
      <c r="F14" s="5" t="inlineStr">
        <is>
          <t>Blur blok user sidebar [0,470,262,140] atau crop mulai x=262</t>
        </is>
      </c>
    </row>
    <row r="15" ht="38" customHeight="1">
      <c r="A15" s="14" t="inlineStr">
        <is>
          <t>Maturity</t>
        </is>
      </c>
      <c r="B15" s="5" t="inlineStr">
        <is>
          <t>frontend/tmp/audit4/maturity.png</t>
        </is>
      </c>
      <c r="C15" s="9" t="inlineStr">
        <is>
          <t>UI terbaru</t>
        </is>
      </c>
      <c r="D15" s="5" t="inlineStr">
        <is>
          <t>Kosong ("Belum ada assessment")</t>
        </is>
      </c>
      <c r="E15" s="26" t="inlineStr">
        <is>
          <t>Kosong</t>
        </is>
      </c>
      <c r="F15" s="5" t="inlineStr">
        <is>
          <t>Jangan dipakai</t>
        </is>
      </c>
    </row>
    <row r="16" ht="38" customHeight="1">
      <c r="A16" s="14" t="inlineStr">
        <is>
          <t>RoPA</t>
        </is>
      </c>
      <c r="B16" s="5" t="inlineStr">
        <is>
          <t>motion/assets/app/ropa-baru.png</t>
        </is>
      </c>
      <c r="C16" s="9" t="inlineStr">
        <is>
          <t>Kurasi</t>
        </is>
      </c>
      <c r="D16" s="5" t="inlineStr">
        <is>
          <t>Modal Buat RoPA Baru</t>
        </is>
      </c>
      <c r="E16" s="30" t="inlineStr">
        <is>
          <t>Siap</t>
        </is>
      </c>
      <c r="F16" s="5" t="inlineStr"/>
    </row>
    <row r="17" ht="38" customHeight="1">
      <c r="A17" s="14" t="inlineStr">
        <is>
          <t>RoPA</t>
        </is>
      </c>
      <c r="B17" s="5" t="inlineStr">
        <is>
          <t>motion/assets/app/ropa-data-spesifik.png</t>
        </is>
      </c>
      <c r="C17" s="9" t="inlineStr">
        <is>
          <t>Kurasi</t>
        </is>
      </c>
      <c r="D17" s="5" t="inlineStr">
        <is>
          <t>Daftar data pribadi spesifik</t>
        </is>
      </c>
      <c r="E17" s="30" t="inlineStr">
        <is>
          <t>Siap</t>
        </is>
      </c>
      <c r="F17" s="5" t="inlineStr"/>
    </row>
    <row r="18" ht="38" customHeight="1">
      <c r="A18" s="14" t="inlineStr">
        <is>
          <t>RoPA</t>
        </is>
      </c>
      <c r="B18" s="5" t="inlineStr">
        <is>
          <t>motion/assets/app/ropa-tersimpan.png</t>
        </is>
      </c>
      <c r="C18" s="9" t="inlineStr">
        <is>
          <t>Kurasi</t>
        </is>
      </c>
      <c r="D18" s="5" t="inlineStr">
        <is>
          <t>Notifikasi tersimpan + daftar</t>
        </is>
      </c>
      <c r="E18" s="30" t="inlineStr">
        <is>
          <t>Siap</t>
        </is>
      </c>
      <c r="F18" s="5" t="inlineStr"/>
    </row>
    <row r="19" ht="38" customHeight="1">
      <c r="A19" s="14" t="inlineStr">
        <is>
          <t>RoPA</t>
        </is>
      </c>
      <c r="B19" s="5" t="inlineStr">
        <is>
          <t>motion/assets/app/ropa-list-baru.png</t>
        </is>
      </c>
      <c r="C19" s="9" t="inlineStr">
        <is>
          <t>Kurasi</t>
        </is>
      </c>
      <c r="D19" s="5" t="inlineStr">
        <is>
          <t>Register RoPA (UI terbaru)</t>
        </is>
      </c>
      <c r="E19" s="30" t="inlineStr">
        <is>
          <t>Siap</t>
        </is>
      </c>
      <c r="F19" s="5" t="inlineStr"/>
    </row>
    <row r="20" ht="38" customHeight="1">
      <c r="A20" s="14" t="inlineStr">
        <is>
          <t>RoPA</t>
        </is>
      </c>
      <c r="B20" s="5" t="inlineStr">
        <is>
          <t>dataroom/03-tenant/ropa/03-review-mode-waiting.png</t>
        </is>
      </c>
      <c r="C20" s="9" t="inlineStr">
        <is>
          <t>Data demo</t>
        </is>
      </c>
      <c r="D20" s="5" t="inlineStr">
        <is>
          <t>Detail pemrosesan (menunggu) + DPO/Team</t>
        </is>
      </c>
      <c r="E20" s="31" t="inlineStr">
        <is>
          <t>Perlu crop</t>
        </is>
      </c>
      <c r="F20" s="5" t="inlineStr">
        <is>
          <t>Bagian DPO/Team memuat EMAIL: crop hanya [262,40,1002,420]</t>
        </is>
      </c>
    </row>
    <row r="21" ht="38" customHeight="1">
      <c r="A21" s="14" t="inlineStr">
        <is>
          <t>RoPA</t>
        </is>
      </c>
      <c r="B21" s="5" t="inlineStr">
        <is>
          <t>dataroom/03-tenant/ropa/16-export-pdf-result.png</t>
        </is>
      </c>
      <c r="C21" s="9" t="inlineStr">
        <is>
          <t>Data demo</t>
        </is>
      </c>
      <c r="D21" s="5" t="inlineStr">
        <is>
          <t>Daftar RoPA + progres &amp; level risiko</t>
        </is>
      </c>
      <c r="E21" s="31" t="inlineStr">
        <is>
          <t>Perlu blur</t>
        </is>
      </c>
      <c r="F21" s="5" t="inlineStr">
        <is>
          <t>Blur blok user sidebar [0,470,262,140] atau crop mulai x=262</t>
        </is>
      </c>
    </row>
    <row r="22" ht="38" customHeight="1">
      <c r="A22" s="14" t="inlineStr">
        <is>
          <t>RoPA</t>
        </is>
      </c>
      <c r="B22" s="5" t="inlineStr">
        <is>
          <t>frontend/tmp/audit4/vendor-risk__ropa-pihak-ketiga.png</t>
        </is>
      </c>
      <c r="C22" s="9" t="inlineStr">
        <is>
          <t>UI terbaru</t>
        </is>
      </c>
      <c r="D22" s="5" t="inlineStr">
        <is>
          <t>Minta pihak ketiga mengisi RoPA (tautan)</t>
        </is>
      </c>
      <c r="E22" s="31" t="inlineStr">
        <is>
          <t>Perlu blur</t>
        </is>
      </c>
      <c r="F22" s="5" t="inlineStr">
        <is>
          <t>Blur nama org [300,22,200,26]; buang sidebar (x&lt;200)</t>
        </is>
      </c>
    </row>
    <row r="23" ht="38" customHeight="1">
      <c r="A23" s="14" t="inlineStr">
        <is>
          <t>DPIA</t>
        </is>
      </c>
      <c r="B23" s="5" t="inlineStr">
        <is>
          <t>motion/assets/app/dpia-list.png</t>
        </is>
      </c>
      <c r="C23" s="9" t="inlineStr">
        <is>
          <t>Kurasi</t>
        </is>
      </c>
      <c r="D23" s="5" t="inlineStr">
        <is>
          <t>Daftar DPIA</t>
        </is>
      </c>
      <c r="E23" s="30" t="inlineStr">
        <is>
          <t>Siap</t>
        </is>
      </c>
      <c r="F23" s="5" t="inlineStr"/>
    </row>
    <row r="24" ht="38" customHeight="1">
      <c r="A24" s="14" t="inlineStr">
        <is>
          <t>DPIA</t>
        </is>
      </c>
      <c r="B24" s="5" t="inlineStr">
        <is>
          <t>motion/assets/app/dpia-list-baru.png</t>
        </is>
      </c>
      <c r="C24" s="9" t="inlineStr">
        <is>
          <t>Kurasi</t>
        </is>
      </c>
      <c r="D24" s="5" t="inlineStr">
        <is>
          <t>Daftar DPIA (UI terbaru)</t>
        </is>
      </c>
      <c r="E24" s="30" t="inlineStr">
        <is>
          <t>Siap</t>
        </is>
      </c>
      <c r="F24" s="5" t="inlineStr"/>
    </row>
    <row r="25" ht="38" customHeight="1">
      <c r="A25" s="14" t="inlineStr">
        <is>
          <t>DPIA</t>
        </is>
      </c>
      <c r="B25" s="5" t="inlineStr">
        <is>
          <t>motion/assets/app/dpia-risiko.png</t>
        </is>
      </c>
      <c r="C25" s="9" t="inlineStr">
        <is>
          <t>Kurasi</t>
        </is>
      </c>
      <c r="D25" s="5" t="inlineStr">
        <is>
          <t>Wizard potensi risiko</t>
        </is>
      </c>
      <c r="E25" s="30" t="inlineStr">
        <is>
          <t>Siap</t>
        </is>
      </c>
      <c r="F25" s="5" t="inlineStr"/>
    </row>
    <row r="26" ht="38" customHeight="1">
      <c r="A26" s="14" t="inlineStr">
        <is>
          <t>DPIA</t>
        </is>
      </c>
      <c r="B26" s="5" t="inlineStr">
        <is>
          <t>dataroom/03-tenant/dpia/07-wizard-step4-audit.png</t>
        </is>
      </c>
      <c r="C26" s="9" t="inlineStr">
        <is>
          <t>Data demo</t>
        </is>
      </c>
      <c r="D26" s="5" t="inlineStr">
        <is>
          <t>Langkah audit + tombol "Lanjutkan dengan AI"</t>
        </is>
      </c>
      <c r="E26" s="31" t="inlineStr">
        <is>
          <t>Perlu blur</t>
        </is>
      </c>
      <c r="F26" s="5" t="inlineStr">
        <is>
          <t>Blur blok user sidebar [0,470,262,140] atau crop mulai x=262</t>
        </is>
      </c>
    </row>
    <row r="27" ht="38" customHeight="1">
      <c r="A27" s="14" t="inlineStr">
        <is>
          <t>Risk Treatment Plan</t>
        </is>
      </c>
      <c r="B27" s="5" t="inlineStr">
        <is>
          <t>dataroom/03-tenant/risk-treatment-plan/01-overview.png</t>
        </is>
      </c>
      <c r="C27" s="9" t="inlineStr">
        <is>
          <t>Data demo</t>
        </is>
      </c>
      <c r="D27" s="5" t="inlineStr">
        <is>
          <t>Tabel mitigasi (event, DPIA, prioritas, status)</t>
        </is>
      </c>
      <c r="E27" s="31" t="inlineStr">
        <is>
          <t>Perlu blur</t>
        </is>
      </c>
      <c r="F27" s="5" t="inlineStr">
        <is>
          <t>BLUR kolom Owner &amp; filter owner (nama orang). Blur blok user sidebar [0,470,262,140] atau crop mulai x=262</t>
        </is>
      </c>
    </row>
    <row r="28" ht="38" customHeight="1">
      <c r="A28" s="14" t="inlineStr">
        <is>
          <t>LIA</t>
        </is>
      </c>
      <c r="B28" s="5" t="inlineStr">
        <is>
          <t>dataroom/03-tenant/lia/01-overview.png</t>
        </is>
      </c>
      <c r="C28" s="9" t="inlineStr">
        <is>
          <t>Data demo</t>
        </is>
      </c>
      <c r="D28" s="5" t="inlineStr">
        <is>
          <t>Kosong (memuat)</t>
        </is>
      </c>
      <c r="E28" s="26" t="inlineStr">
        <is>
          <t>Kosong</t>
        </is>
      </c>
      <c r="F28" s="5" t="inlineStr">
        <is>
          <t>Jangan dipakai</t>
        </is>
      </c>
    </row>
    <row r="29" ht="38" customHeight="1">
      <c r="A29" s="14" t="inlineStr">
        <is>
          <t>LIA</t>
        </is>
      </c>
      <c r="B29" s="5" t="inlineStr">
        <is>
          <t>frontend/tmp/audit4/lia.png</t>
        </is>
      </c>
      <c r="C29" s="9" t="inlineStr">
        <is>
          <t>UI terbaru</t>
        </is>
      </c>
      <c r="D29" s="5" t="inlineStr">
        <is>
          <t>Header + subjudul (daftar kosong)</t>
        </is>
      </c>
      <c r="E29" s="31" t="inlineStr">
        <is>
          <t>Hanya header</t>
        </is>
      </c>
      <c r="F29" s="5" t="inlineStr">
        <is>
          <t>AMBIL SCREENSHOT BARU dengan 2–3 LIA contoh</t>
        </is>
      </c>
    </row>
    <row r="30" ht="38" customHeight="1">
      <c r="A30" s="14" t="inlineStr">
        <is>
          <t>TIA</t>
        </is>
      </c>
      <c r="B30" s="5" t="inlineStr">
        <is>
          <t>dataroom/03-tenant/tia/01-overview.png</t>
        </is>
      </c>
      <c r="C30" s="9" t="inlineStr">
        <is>
          <t>Data demo</t>
        </is>
      </c>
      <c r="D30" s="5" t="inlineStr">
        <is>
          <t>11 TIA, negara tujuan Jepang/Singapura, status</t>
        </is>
      </c>
      <c r="E30" s="31" t="inlineStr">
        <is>
          <t>Perlu blur</t>
        </is>
      </c>
      <c r="F30" s="5" t="inlineStr">
        <is>
          <t>Blur blok user sidebar [0,470,262,140] atau crop mulai x=262</t>
        </is>
      </c>
    </row>
    <row r="31" ht="38" customHeight="1">
      <c r="A31" s="14" t="inlineStr">
        <is>
          <t>Transfer lintas negara</t>
        </is>
      </c>
      <c r="B31" s="5" t="inlineStr">
        <is>
          <t>dataroom/03-tenant/cross-border/01-overview.png</t>
        </is>
      </c>
      <c r="C31" s="9" t="inlineStr">
        <is>
          <t>Data demo</t>
        </is>
      </c>
      <c r="D31" s="5" t="inlineStr">
        <is>
          <t>Register transfer, peta negara, skor TIA</t>
        </is>
      </c>
      <c r="E31" s="31" t="inlineStr">
        <is>
          <t>Perlu blur</t>
        </is>
      </c>
      <c r="F31" s="5" t="inlineStr">
        <is>
          <t>BLUR kolom Entitas Tujuan (ada merek penyedia cloud). Blur blok user sidebar [0,470,262,140] atau crop mulai x=262</t>
        </is>
      </c>
    </row>
    <row r="32" ht="38" customHeight="1">
      <c r="A32" s="14" t="inlineStr">
        <is>
          <t>DSR</t>
        </is>
      </c>
      <c r="B32" s="5" t="inlineStr">
        <is>
          <t>motion/assets/app/dsr-form.png</t>
        </is>
      </c>
      <c r="C32" s="9" t="inlineStr">
        <is>
          <t>Kurasi</t>
        </is>
      </c>
      <c r="D32" s="5" t="inlineStr">
        <is>
          <t>Modal Buat DSR (kanban diburamkan)</t>
        </is>
      </c>
      <c r="E32" s="30" t="inlineStr">
        <is>
          <t>Siap</t>
        </is>
      </c>
      <c r="F32" s="5" t="inlineStr"/>
    </row>
    <row r="33" ht="38" customHeight="1">
      <c r="A33" s="14" t="inlineStr">
        <is>
          <t>DSR</t>
        </is>
      </c>
      <c r="B33" s="5" t="inlineStr">
        <is>
          <t>motion/assets/app/dsr-detail.png</t>
        </is>
      </c>
      <c r="C33" s="9" t="inlineStr">
        <is>
          <t>Kurasi</t>
        </is>
      </c>
      <c r="D33" s="5" t="inlineStr">
        <is>
          <t>Header detail, pil "7h tersisa"</t>
        </is>
      </c>
      <c r="E33" s="30" t="inlineStr">
        <is>
          <t>Siap</t>
        </is>
      </c>
      <c r="F33" s="5" t="inlineStr"/>
    </row>
    <row r="34" ht="38" customHeight="1">
      <c r="A34" s="14" t="inlineStr">
        <is>
          <t>DSR</t>
        </is>
      </c>
      <c r="B34" s="5" t="inlineStr">
        <is>
          <t>dataroom/03-tenant/dsr/06-tab-scope.png</t>
        </is>
      </c>
      <c r="C34" s="9" t="inlineStr">
        <is>
          <t>Data demo</t>
        </is>
      </c>
      <c r="D34" s="5" t="inlineStr">
        <is>
          <t>Pilih sistem (scope)</t>
        </is>
      </c>
      <c r="E34" s="31" t="inlineStr">
        <is>
          <t>Perlu blur</t>
        </is>
      </c>
      <c r="F34" s="5" t="inlineStr">
        <is>
          <t>Blur blok user sidebar [0,470,262,140] atau crop mulai x=262</t>
        </is>
      </c>
    </row>
    <row r="35" ht="38" customHeight="1">
      <c r="A35" s="14" t="inlineStr">
        <is>
          <t>DSR</t>
        </is>
      </c>
      <c r="B35" s="5" t="inlineStr">
        <is>
          <t>dataroom/03-tenant/dsr/07-tab-sqlpack.png</t>
        </is>
      </c>
      <c r="C35" s="9" t="inlineStr">
        <is>
          <t>Data demo</t>
        </is>
      </c>
      <c r="D35" s="5" t="inlineStr">
        <is>
          <t>Generate SQL Pack</t>
        </is>
      </c>
      <c r="E35" s="31" t="inlineStr">
        <is>
          <t>Perlu blur</t>
        </is>
      </c>
      <c r="F35" s="5" t="inlineStr">
        <is>
          <t>Blur blok user sidebar [0,470,262,140] atau crop mulai x=262</t>
        </is>
      </c>
    </row>
    <row r="36" ht="38" customHeight="1">
      <c r="A36" s="14" t="inlineStr">
        <is>
          <t>DSR</t>
        </is>
      </c>
      <c r="B36" s="5" t="inlineStr">
        <is>
          <t>dataroom/03-tenant/dsr/09-tab-certificates.png</t>
        </is>
      </c>
      <c r="C36" s="9" t="inlineStr">
        <is>
          <t>Data demo</t>
        </is>
      </c>
      <c r="D36" s="5" t="inlineStr">
        <is>
          <t>Sertifikat pemohon &amp; internal</t>
        </is>
      </c>
      <c r="E36" s="31" t="inlineStr">
        <is>
          <t>Perlu blur</t>
        </is>
      </c>
      <c r="F36" s="5" t="inlineStr">
        <is>
          <t>Blur blok user sidebar [0,470,262,140] atau crop mulai x=262</t>
        </is>
      </c>
    </row>
    <row r="37" ht="38" customHeight="1">
      <c r="A37" s="14" t="inlineStr">
        <is>
          <t>DSR</t>
        </is>
      </c>
      <c r="B37" s="5" t="inlineStr">
        <is>
          <t>dataroom/03-tenant/dsr/01-overview.png</t>
        </is>
      </c>
      <c r="C37" s="9" t="inlineStr">
        <is>
          <t>Data demo</t>
        </is>
      </c>
      <c r="D37" s="5" t="inlineStr">
        <is>
          <t>Daftar tiket + aplikasi</t>
        </is>
      </c>
      <c r="E37" s="26" t="inlineStr">
        <is>
          <t>Jangan dipakai</t>
        </is>
      </c>
      <c r="F37" s="5" t="inlineStr">
        <is>
          <t>Ada nama merek bank nyata di daftar aplikasi</t>
        </is>
      </c>
    </row>
    <row r="38" ht="38" customHeight="1">
      <c r="A38" s="14" t="inlineStr">
        <is>
          <t>DSR</t>
        </is>
      </c>
      <c r="B38" s="5" t="inlineStr">
        <is>
          <t>frontend/tmp/audit4/dsr-apps.png</t>
        </is>
      </c>
      <c r="C38" s="9" t="inlineStr">
        <is>
          <t>UI terbaru</t>
        </is>
      </c>
      <c r="D38" s="5" t="inlineStr">
        <is>
          <t>Aplikasi DSR (1 baris "E2E App")</t>
        </is>
      </c>
      <c r="E38" s="31" t="inlineStr">
        <is>
          <t>Perlu blur</t>
        </is>
      </c>
      <c r="F38" s="5" t="inlineStr">
        <is>
          <t>Blur nama org [300,22,200,26]; buang sidebar (x&lt;200)</t>
        </is>
      </c>
    </row>
    <row r="39" ht="38" customHeight="1">
      <c r="A39" s="14" t="inlineStr">
        <is>
          <t>Consent</t>
        </is>
      </c>
      <c r="B39" s="5" t="inlineStr">
        <is>
          <t>dataroom/03-tenant/consent/01-overview.png</t>
        </is>
      </c>
      <c r="C39" s="9" t="inlineStr">
        <is>
          <t>Data demo</t>
        </is>
      </c>
      <c r="D39" s="5" t="inlineStr">
        <is>
          <t>Collection point + jumlah item</t>
        </is>
      </c>
      <c r="E39" s="31" t="inlineStr">
        <is>
          <t>Perlu blur</t>
        </is>
      </c>
      <c r="F39" s="5" t="inlineStr">
        <is>
          <t>BLUR kolom Domain. Blur blok user sidebar [0,470,262,140] atau crop mulai x=262</t>
        </is>
      </c>
    </row>
    <row r="40" ht="38" customHeight="1">
      <c r="A40" s="14" t="inlineStr">
        <is>
          <t>Consent</t>
        </is>
      </c>
      <c r="B40" s="5" t="inlineStr">
        <is>
          <t>dataroom/03-tenant/consent/03-embed-code.png</t>
        </is>
      </c>
      <c r="C40" s="9" t="inlineStr">
        <is>
          <t>Data demo</t>
        </is>
      </c>
      <c r="D40" s="5" t="inlineStr">
        <is>
          <t>Detail collection point, tab log/analytics/widget</t>
        </is>
      </c>
      <c r="E40" s="31" t="inlineStr">
        <is>
          <t>Perlu blur</t>
        </is>
      </c>
      <c r="F40" s="5" t="inlineStr">
        <is>
          <t>BLUR URL. Blur blok user sidebar [0,470,262,140] atau crop mulai x=262</t>
        </is>
      </c>
    </row>
    <row r="41" ht="38" customHeight="1">
      <c r="A41" s="14" t="inlineStr">
        <is>
          <t>Consent</t>
        </is>
      </c>
      <c r="B41" s="5" t="inlineStr">
        <is>
          <t>motion/assets/app/consent-detail.png</t>
        </is>
      </c>
      <c r="C41" s="9" t="inlineStr">
        <is>
          <t>Kurasi</t>
        </is>
      </c>
      <c r="D41" s="5" t="inlineStr">
        <is>
          <t>Integrasi: embed, preference center, API, webhook</t>
        </is>
      </c>
      <c r="E41" s="30" t="inlineStr">
        <is>
          <t>Siap</t>
        </is>
      </c>
      <c r="F41" s="5" t="inlineStr">
        <is>
          <t>API key &amp; user sudah diburamkan</t>
        </is>
      </c>
    </row>
    <row r="42" ht="38" customHeight="1">
      <c r="A42" s="14" t="inlineStr">
        <is>
          <t>Consent</t>
        </is>
      </c>
      <c r="B42" s="5" t="inlineStr">
        <is>
          <t>frontend/tmp/audit4/consent__preview.png</t>
        </is>
      </c>
      <c r="C42" s="9" t="inlineStr">
        <is>
          <t>UI terbaru</t>
        </is>
      </c>
      <c r="D42" s="5" t="inlineStr">
        <is>
          <t>Preview Cookie Banner &amp; Consent Form</t>
        </is>
      </c>
      <c r="E42" s="31" t="inlineStr">
        <is>
          <t>Perlu blur</t>
        </is>
      </c>
      <c r="F42" s="5" t="inlineStr">
        <is>
          <t>Blur nama org [300,22,200,26]; buang sidebar (x&lt;200)</t>
        </is>
      </c>
    </row>
    <row r="43" ht="38" customHeight="1">
      <c r="A43" s="14" t="inlineStr">
        <is>
          <t>Cookie</t>
        </is>
      </c>
      <c r="B43" s="5" t="inlineStr">
        <is>
          <t>dataroom/03-tenant/cookie/01-overview.png</t>
        </is>
      </c>
      <c r="C43" s="9" t="inlineStr">
        <is>
          <t>Data demo</t>
        </is>
      </c>
      <c r="D43" s="5" t="inlineStr">
        <is>
          <t>KPI 6 collection point, 43 item, 31 catatan + tabel</t>
        </is>
      </c>
      <c r="E43" s="31" t="inlineStr">
        <is>
          <t>Hanya KPI</t>
        </is>
      </c>
      <c r="F43" s="5" t="inlineStr">
        <is>
          <t>Tabel memuat nama layanan &amp; domain nyata: JANGAN tampilkan</t>
        </is>
      </c>
    </row>
    <row r="44" ht="38" customHeight="1">
      <c r="A44" s="14" t="inlineStr">
        <is>
          <t>Children Pro</t>
        </is>
      </c>
      <c r="B44" s="5" t="inlineStr">
        <is>
          <t>motion/assets/app/children-pro.png</t>
        </is>
      </c>
      <c r="C44" s="9" t="inlineStr">
        <is>
          <t>Kurasi</t>
        </is>
      </c>
      <c r="D44" s="5" t="inlineStr">
        <is>
          <t>Judul &amp; tab Kewenangan Wali/Menunggu/Peralihan</t>
        </is>
      </c>
      <c r="E44" s="30" t="inlineStr">
        <is>
          <t>Siap</t>
        </is>
      </c>
      <c r="F44" s="5" t="inlineStr"/>
    </row>
    <row r="45" ht="38" customHeight="1">
      <c r="A45" s="14" t="inlineStr">
        <is>
          <t>Children Pro</t>
        </is>
      </c>
      <c r="B45" s="5" t="inlineStr">
        <is>
          <t>frontend/tmp/audit4/consent-guardian.png</t>
        </is>
      </c>
      <c r="C45" s="9" t="inlineStr">
        <is>
          <t>UI terbaru</t>
        </is>
      </c>
      <c r="D45" s="5" t="inlineStr">
        <is>
          <t>Tab titik pengumpulan, wali, verifikasi, DSR anak (kosong)</t>
        </is>
      </c>
      <c r="E45" s="31" t="inlineStr">
        <is>
          <t>Hanya header</t>
        </is>
      </c>
      <c r="F45" s="5" t="inlineStr">
        <is>
          <t>AMBIL SCREENSHOT BARU dengan data fiktif</t>
        </is>
      </c>
    </row>
    <row r="46" ht="38" customHeight="1">
      <c r="A46" s="14" t="inlineStr">
        <is>
          <t>Inclusive Privacy</t>
        </is>
      </c>
      <c r="B46" s="5" t="inlineStr">
        <is>
          <t>motion/assets/app/inclusive-privacy.png</t>
        </is>
      </c>
      <c r="C46" s="9" t="inlineStr">
        <is>
          <t>Kurasi</t>
        </is>
      </c>
      <c r="D46" s="5" t="inlineStr">
        <is>
          <t>Judul &amp; tab</t>
        </is>
      </c>
      <c r="E46" s="30" t="inlineStr">
        <is>
          <t>Siap</t>
        </is>
      </c>
      <c r="F46" s="5" t="inlineStr"/>
    </row>
    <row r="47" ht="38" customHeight="1">
      <c r="A47" s="14" t="inlineStr">
        <is>
          <t>Inclusive Privacy</t>
        </is>
      </c>
      <c r="B47" s="5" t="inlineStr">
        <is>
          <t>frontend/tmp/audit4/consent-accessibility.png</t>
        </is>
      </c>
      <c r="C47" s="9" t="inlineStr">
        <is>
          <t>UI terbaru</t>
        </is>
      </c>
      <c r="D47" s="5" t="inlineStr">
        <is>
          <t>Tab aksesibilitas, DSR disabilitas (kosong)</t>
        </is>
      </c>
      <c r="E47" s="31" t="inlineStr">
        <is>
          <t>Hanya header</t>
        </is>
      </c>
      <c r="F47" s="5" t="inlineStr">
        <is>
          <t>AMBIL SCREENSHOT BARU</t>
        </is>
      </c>
    </row>
    <row r="48" ht="38" customHeight="1">
      <c r="A48" s="14" t="inlineStr">
        <is>
          <t>Insiden</t>
        </is>
      </c>
      <c r="B48" s="5" t="inlineStr">
        <is>
          <t>motion/assets/app/breach-detail.png</t>
        </is>
      </c>
      <c r="C48" s="9" t="inlineStr">
        <is>
          <t>Kurasi</t>
        </is>
      </c>
      <c r="D48" s="5" t="inlineStr">
        <is>
          <t>Detail insiden + stepper 5 fase</t>
        </is>
      </c>
      <c r="E48" s="30" t="inlineStr">
        <is>
          <t>Siap</t>
        </is>
      </c>
      <c r="F48" s="5" t="inlineStr"/>
    </row>
    <row r="49" ht="38" customHeight="1">
      <c r="A49" s="14" t="inlineStr">
        <is>
          <t>Insiden</t>
        </is>
      </c>
      <c r="B49" s="5" t="inlineStr">
        <is>
          <t>motion/assets/app/breach-fase.png</t>
        </is>
      </c>
      <c r="C49" s="9" t="inlineStr">
        <is>
          <t>Kurasi</t>
        </is>
      </c>
      <c r="D49" s="5" t="inlineStr">
        <is>
          <t>Fase 1: checklist</t>
        </is>
      </c>
      <c r="E49" s="30" t="inlineStr">
        <is>
          <t>Siap</t>
        </is>
      </c>
      <c r="F49" s="5" t="inlineStr"/>
    </row>
    <row r="50" ht="38" customHeight="1">
      <c r="A50" s="14" t="inlineStr">
        <is>
          <t>Insiden</t>
        </is>
      </c>
      <c r="B50" s="5" t="inlineStr">
        <is>
          <t>motion/assets/app/breach-aksi.png</t>
        </is>
      </c>
      <c r="C50" s="9" t="inlineStr">
        <is>
          <t>Kurasi</t>
        </is>
      </c>
      <c r="D50" s="5" t="inlineStr">
        <is>
          <t>Template, RACI, War Room, PICAPA, SIEM/SOAR, PDF</t>
        </is>
      </c>
      <c r="E50" s="30" t="inlineStr">
        <is>
          <t>Siap</t>
        </is>
      </c>
      <c r="F50" s="5" t="inlineStr"/>
    </row>
    <row r="51" ht="38" customHeight="1">
      <c r="A51" s="14" t="inlineStr">
        <is>
          <t>Insiden</t>
        </is>
      </c>
      <c r="B51" s="5" t="inlineStr">
        <is>
          <t>motion/assets/app/breach-ai.png</t>
        </is>
      </c>
      <c r="C51" s="9" t="inlineStr">
        <is>
          <t>Kurasi</t>
        </is>
      </c>
      <c r="D51" s="5" t="inlineStr">
        <is>
          <t>AI Incident Response Advisor</t>
        </is>
      </c>
      <c r="E51" s="30" t="inlineStr">
        <is>
          <t>Siap</t>
        </is>
      </c>
      <c r="F51" s="5" t="inlineStr"/>
    </row>
    <row r="52" ht="38" customHeight="1">
      <c r="A52" s="14" t="inlineStr">
        <is>
          <t>Insiden</t>
        </is>
      </c>
      <c r="B52" s="5" t="inlineStr">
        <is>
          <t>motion/assets/app/breach-list-baru.png</t>
        </is>
      </c>
      <c r="C52" s="9" t="inlineStr">
        <is>
          <t>Kurasi</t>
        </is>
      </c>
      <c r="D52" s="5" t="inlineStr">
        <is>
          <t>Daftar insiden (UI terbaru)</t>
        </is>
      </c>
      <c r="E52" s="30" t="inlineStr">
        <is>
          <t>Siap</t>
        </is>
      </c>
      <c r="F52" s="5" t="inlineStr"/>
    </row>
    <row r="53" ht="38" customHeight="1">
      <c r="A53" s="14" t="inlineStr">
        <is>
          <t>Fire Drill</t>
        </is>
      </c>
      <c r="B53" s="5" t="inlineStr">
        <is>
          <t>dataroom/03-tenant/simulation/02-recheck.png</t>
        </is>
      </c>
      <c r="C53" s="9" t="inlineStr">
        <is>
          <t>Data demo</t>
        </is>
      </c>
      <c r="D53" s="5" t="inlineStr">
        <is>
          <t>Banner + daftar skenario, skor, rating</t>
        </is>
      </c>
      <c r="E53" s="31" t="inlineStr">
        <is>
          <t>Perlu crop</t>
        </is>
      </c>
      <c r="F53" s="5" t="inlineStr">
        <is>
          <t>Kartu "Rata-rata skor" menampilkan angka tidak valid: buang. BLUR kolom User</t>
        </is>
      </c>
    </row>
    <row r="54" ht="38" customHeight="1">
      <c r="A54" s="14" t="inlineStr">
        <is>
          <t>Fire Drill</t>
        </is>
      </c>
      <c r="B54" s="5" t="inlineStr">
        <is>
          <t>motion/assets/app/fire-drill-header.png</t>
        </is>
      </c>
      <c r="C54" s="9" t="inlineStr">
        <is>
          <t>Kurasi</t>
        </is>
      </c>
      <c r="D54" s="5" t="inlineStr">
        <is>
          <t>Banner Fire Drill (UI terbaru)</t>
        </is>
      </c>
      <c r="E54" s="30" t="inlineStr">
        <is>
          <t>Siap</t>
        </is>
      </c>
      <c r="F54" s="5" t="inlineStr"/>
    </row>
    <row r="55" ht="38" customHeight="1">
      <c r="A55" s="14" t="inlineStr">
        <is>
          <t>Pihak ketiga</t>
        </is>
      </c>
      <c r="B55" s="5" t="inlineStr">
        <is>
          <t>dataroom/03-tenant/vendor-risk/01-overview.png</t>
        </is>
      </c>
      <c r="C55" s="9" t="inlineStr">
        <is>
          <t>Data demo</t>
        </is>
      </c>
      <c r="D55" s="5" t="inlineStr">
        <is>
          <t>15 pihak ketiga, risiko kritis, tabel</t>
        </is>
      </c>
      <c r="E55" s="31" t="inlineStr">
        <is>
          <t>Perlu blur</t>
        </is>
      </c>
      <c r="F55" s="5" t="inlineStr">
        <is>
          <t>BLUR kolom Penanggung Jawab. Blur blok user sidebar [0,470,262,140] atau crop mulai x=262</t>
        </is>
      </c>
    </row>
    <row r="56" ht="38" customHeight="1">
      <c r="A56" s="14" t="inlineStr">
        <is>
          <t>Pihak ketiga</t>
        </is>
      </c>
      <c r="B56" s="5" t="inlineStr">
        <is>
          <t>dataroom/03-tenant/vendor-risk/02-bank-pertanyaan.png</t>
        </is>
      </c>
      <c r="C56" s="9" t="inlineStr">
        <is>
          <t>Data demo</t>
        </is>
      </c>
      <c r="D56" s="5" t="inlineStr">
        <is>
          <t>Template 56 pertanyaan kepatuhan PDP</t>
        </is>
      </c>
      <c r="E56" s="31" t="inlineStr">
        <is>
          <t>Perlu blur</t>
        </is>
      </c>
      <c r="F56" s="5" t="inlineStr">
        <is>
          <t>Blur blok user sidebar [0,470,262,140] atau crop mulai x=262</t>
        </is>
      </c>
    </row>
    <row r="57" ht="38" customHeight="1">
      <c r="A57" s="14" t="inlineStr">
        <is>
          <t>Pihak ketiga</t>
        </is>
      </c>
      <c r="B57" s="5" t="inlineStr">
        <is>
          <t>dataroom/03-tenant/vendor-risk/07-detail-pihakketiga.png</t>
        </is>
      </c>
      <c r="C57" s="9" t="inlineStr">
        <is>
          <t>Data demo</t>
        </is>
      </c>
      <c r="D57" s="5" t="inlineStr">
        <is>
          <t>Detail + skor AI 49 High</t>
        </is>
      </c>
      <c r="E57" s="31" t="inlineStr">
        <is>
          <t>Perlu blur</t>
        </is>
      </c>
      <c r="F57" s="5" t="inlineStr">
        <is>
          <t>BLUR baris Website</t>
        </is>
      </c>
    </row>
    <row r="58" ht="38" customHeight="1">
      <c r="A58" s="14" t="inlineStr">
        <is>
          <t>Pihak ketiga</t>
        </is>
      </c>
      <c r="B58" s="5" t="inlineStr">
        <is>
          <t>dataroom/03-tenant/vendor-risk/08-mulai-asesmen-modal.png</t>
        </is>
      </c>
      <c r="C58" s="9" t="inlineStr">
        <is>
          <t>Data demo</t>
        </is>
      </c>
      <c r="D58" s="5" t="inlineStr">
        <is>
          <t>Kirim pra-asesmen &amp; tautan publik</t>
        </is>
      </c>
      <c r="E58" s="30" t="inlineStr">
        <is>
          <t>Siap (crop modal)</t>
        </is>
      </c>
      <c r="F58" s="5" t="inlineStr">
        <is>
          <t>Crop modal [470,40,760,520]</t>
        </is>
      </c>
    </row>
    <row r="59" ht="38" customHeight="1">
      <c r="A59" s="14" t="inlineStr">
        <is>
          <t>Data Discovery</t>
        </is>
      </c>
      <c r="B59" s="5" t="inlineStr">
        <is>
          <t>dataroom/03-tenant/data-discovery/01-overview.png</t>
        </is>
      </c>
      <c r="C59" s="9" t="inlineStr">
        <is>
          <t>Data demo</t>
        </is>
      </c>
      <c r="D59" s="5" t="inlineStr">
        <is>
          <t>6 sistem, 187 PII, status scan</t>
        </is>
      </c>
      <c r="E59" s="31" t="inlineStr">
        <is>
          <t>Perlu blur</t>
        </is>
      </c>
      <c r="F59" s="5" t="inlineStr">
        <is>
          <t>Blur blok user sidebar [0,470,262,140] atau crop mulai x=262</t>
        </is>
      </c>
    </row>
    <row r="60" ht="38" customHeight="1">
      <c r="A60" s="14" t="inlineStr">
        <is>
          <t>Data Discovery</t>
        </is>
      </c>
      <c r="B60" s="5" t="inlineStr">
        <is>
          <t>dataroom/03-tenant/data-discovery/03-system-detail.png</t>
        </is>
      </c>
      <c r="C60" s="9" t="inlineStr">
        <is>
          <t>Data demo</t>
        </is>
      </c>
      <c r="D60" s="5" t="inlineStr">
        <is>
          <t>Form kredensial database</t>
        </is>
      </c>
      <c r="E60" s="26" t="inlineStr">
        <is>
          <t>Jangan dipakai</t>
        </is>
      </c>
      <c r="F60" s="5" t="inlineStr">
        <is>
          <t>Form kredensial</t>
        </is>
      </c>
    </row>
    <row r="61" ht="38" customHeight="1">
      <c r="A61" s="14" t="inlineStr">
        <is>
          <t>Data Discovery</t>
        </is>
      </c>
      <c r="B61" s="5" t="inlineStr">
        <is>
          <t>frontend/tmp/audit4/data-discovery__scan-results.png</t>
        </is>
      </c>
      <c r="C61" s="9" t="inlineStr">
        <is>
          <t>UI terbaru</t>
        </is>
      </c>
      <c r="D61" s="5" t="inlineStr">
        <is>
          <t>Riwayat scan person (kosong)</t>
        </is>
      </c>
      <c r="E61" s="26" t="inlineStr">
        <is>
          <t>Kosong</t>
        </is>
      </c>
      <c r="F61" s="5" t="inlineStr">
        <is>
          <t>AMBIL SCREENSHOT BARU hasil scan satu orang</t>
        </is>
      </c>
    </row>
    <row r="62" ht="38" customHeight="1">
      <c r="A62" s="14" t="inlineStr">
        <is>
          <t>Telaah kebijakan</t>
        </is>
      </c>
      <c r="B62" s="5" t="inlineStr">
        <is>
          <t>motion/assets/app/policy-review.png</t>
        </is>
      </c>
      <c r="C62" s="9" t="inlineStr">
        <is>
          <t>Kurasi</t>
        </is>
      </c>
      <c r="D62" s="5" t="inlineStr">
        <is>
          <t>Ringkasan kesesuaian &amp; daftar dokumen</t>
        </is>
      </c>
      <c r="E62" s="30" t="inlineStr">
        <is>
          <t>Siap</t>
        </is>
      </c>
      <c r="F62" s="5" t="inlineStr"/>
    </row>
    <row r="63" ht="38" customHeight="1">
      <c r="A63" s="14" t="inlineStr">
        <is>
          <t>Telaah kebijakan</t>
        </is>
      </c>
      <c r="B63" s="5" t="inlineStr">
        <is>
          <t>frontend/tmp/audit4/policy-review__60c9fc83-b09e-4399-ab4f-dbe083655bd7.png</t>
        </is>
      </c>
      <c r="C63" s="9" t="inlineStr">
        <is>
          <t>UI terbaru</t>
        </is>
      </c>
      <c r="D63" s="5" t="inlineStr">
        <is>
          <t>Hasil telaah "SOP Respons Insiden Data" 38%</t>
        </is>
      </c>
      <c r="E63" s="31" t="inlineStr">
        <is>
          <t>Perlu blur</t>
        </is>
      </c>
      <c r="F63" s="5" t="inlineStr">
        <is>
          <t>Blur nama org [300,22,200,26]; buang sidebar (x&lt;200)</t>
        </is>
      </c>
    </row>
    <row r="64" ht="38" customHeight="1">
      <c r="A64" s="14" t="inlineStr">
        <is>
          <t>Telaah kebijakan</t>
        </is>
      </c>
      <c r="B64" s="5" t="inlineStr">
        <is>
          <t>dataroom/03-tenant/policy-review/01-overview.png</t>
        </is>
      </c>
      <c r="C64" s="9" t="inlineStr">
        <is>
          <t>Data demo</t>
        </is>
      </c>
      <c r="D64" s="5" t="inlineStr">
        <is>
          <t>Daftar telaah</t>
        </is>
      </c>
      <c r="E64" s="26" t="inlineStr">
        <is>
          <t>Jangan dipakai</t>
        </is>
      </c>
      <c r="F64" s="5" t="inlineStr">
        <is>
          <t>Kartu skor tidak wajar &amp; judul dokumen bisa nama perusahaan nyata</t>
        </is>
      </c>
    </row>
    <row r="65" ht="38" customHeight="1">
      <c r="A65" s="14" t="inlineStr">
        <is>
          <t>Policy Generator</t>
        </is>
      </c>
      <c r="B65" s="5" t="inlineStr">
        <is>
          <t>frontend/tmp/audit4/policy-generator__new.png</t>
        </is>
      </c>
      <c r="C65" s="9" t="inlineStr">
        <is>
          <t>UI terbaru</t>
        </is>
      </c>
      <c r="D65" s="5" t="inlineStr">
        <is>
          <t>Wizard: audiens &amp; bahasa</t>
        </is>
      </c>
      <c r="E65" s="31" t="inlineStr">
        <is>
          <t>Perlu blur</t>
        </is>
      </c>
      <c r="F65" s="5" t="inlineStr">
        <is>
          <t>Blur nama org [300,22,200,26]; buang sidebar (x&lt;200)</t>
        </is>
      </c>
    </row>
    <row r="66" ht="38" customHeight="1">
      <c r="A66" s="14" t="inlineStr">
        <is>
          <t>Telaah kontrak</t>
        </is>
      </c>
      <c r="B66" s="5" t="inlineStr">
        <is>
          <t>frontend/tmp/audit4/contract-review.png</t>
        </is>
      </c>
      <c r="C66" s="9" t="inlineStr">
        <is>
          <t>UI terbaru</t>
        </is>
      </c>
      <c r="D66" s="5" t="inlineStr">
        <is>
          <t>Portofolio 38%, pasal sering belum dipenuhi, DPA "PT Awan"</t>
        </is>
      </c>
      <c r="E66" s="31" t="inlineStr">
        <is>
          <t>Perlu blur</t>
        </is>
      </c>
      <c r="F66" s="5" t="inlineStr">
        <is>
          <t>Blur nama org [300,22,200,26]; buang sidebar (x&lt;200)</t>
        </is>
      </c>
    </row>
    <row r="67" ht="38" customHeight="1">
      <c r="A67" s="14" t="inlineStr">
        <is>
          <t>Telaah kontrak</t>
        </is>
      </c>
      <c r="B67" s="5" t="inlineStr">
        <is>
          <t>frontend/tmp/audit4/contract-review__kerangka.png</t>
        </is>
      </c>
      <c r="C67" s="9" t="inlineStr">
        <is>
          <t>UI terbaru</t>
        </is>
      </c>
      <c r="D67" s="5" t="inlineStr">
        <is>
          <t>Kerangka pembanding: UU PDP 76 pasal, PP 33 225 pasal</t>
        </is>
      </c>
      <c r="E67" s="31" t="inlineStr">
        <is>
          <t>Perlu blur</t>
        </is>
      </c>
      <c r="F67" s="5" t="inlineStr">
        <is>
          <t>Blur nama org [300,22,200,26]; buang sidebar (x&lt;200)</t>
        </is>
      </c>
    </row>
    <row r="68" ht="38" customHeight="1">
      <c r="A68" s="14" t="inlineStr">
        <is>
          <t>Telaah kontrak</t>
        </is>
      </c>
      <c r="B68" s="5" t="inlineStr">
        <is>
          <t>frontend/tmp/audit4/contract-review__fca95cc6-55c3-45b6-a3b8-c39d89683396.png</t>
        </is>
      </c>
      <c r="C68" s="9" t="inlineStr">
        <is>
          <t>UI terbaru</t>
        </is>
      </c>
      <c r="D68" s="5" t="inlineStr">
        <is>
          <t>Hasil telaah DPA + rekomendasi</t>
        </is>
      </c>
      <c r="E68" s="31" t="inlineStr">
        <is>
          <t>Perlu blur</t>
        </is>
      </c>
      <c r="F68" s="5" t="inlineStr">
        <is>
          <t>Blur nama org [300,22,200,26]; buang sidebar (x&lt;200)</t>
        </is>
      </c>
    </row>
    <row r="69" ht="38" customHeight="1">
      <c r="A69" s="14" t="inlineStr">
        <is>
          <t>Telaah kontrak</t>
        </is>
      </c>
      <c r="B69" s="5" t="inlineStr">
        <is>
          <t>dataroom/03-tenant/contract-review/01-overview.png</t>
        </is>
      </c>
      <c r="C69" s="9" t="inlineStr">
        <is>
          <t>Data demo</t>
        </is>
      </c>
      <c r="D69" s="5" t="inlineStr">
        <is>
          <t>Daftar kontrak</t>
        </is>
      </c>
      <c r="E69" s="26" t="inlineStr">
        <is>
          <t>Jangan dipakai</t>
        </is>
      </c>
      <c r="F69" s="5" t="inlineStr">
        <is>
          <t>Kartu skor tidak wajar &amp; nama file dokumen nyata</t>
        </is>
      </c>
    </row>
    <row r="70" ht="38" customHeight="1">
      <c r="A70" s="14" t="inlineStr">
        <is>
          <t>Document Maker</t>
        </is>
      </c>
      <c r="B70" s="5" t="inlineStr">
        <is>
          <t>frontend/tmp/audit4/document-maker__9340d5be-074b-428a-bb7a-9bc61a2dce2e.png</t>
        </is>
      </c>
      <c r="C70" s="9" t="inlineStr">
        <is>
          <t>UI terbaru</t>
        </is>
      </c>
      <c r="D70" s="5" t="inlineStr">
        <is>
          <t>Dokumen "Kebijakan Respons Insiden"</t>
        </is>
      </c>
      <c r="E70" s="31" t="inlineStr">
        <is>
          <t>Perlu blur</t>
        </is>
      </c>
      <c r="F70" s="5" t="inlineStr">
        <is>
          <t>Blur nama org [300,22,200,26]; buang sidebar (x&lt;200) + nama org di kop dokumen</t>
        </is>
      </c>
    </row>
    <row r="71" ht="38" customHeight="1">
      <c r="A71" s="14" t="inlineStr">
        <is>
          <t>Document Import</t>
        </is>
      </c>
      <c r="B71" s="5" t="inlineStr">
        <is>
          <t>dataroom/03-tenant/document-import/01-overview.png</t>
        </is>
      </c>
      <c r="C71" s="9" t="inlineStr">
        <is>
          <t>Data demo</t>
        </is>
      </c>
      <c r="D71" s="5" t="inlineStr">
        <is>
          <t>Document Intelligence: unggah &amp; format</t>
        </is>
      </c>
      <c r="E71" s="31" t="inlineStr">
        <is>
          <t>Perlu blur</t>
        </is>
      </c>
      <c r="F71" s="5" t="inlineStr">
        <is>
          <t>Blur blok user sidebar [0,470,262,140] atau crop mulai x=262</t>
        </is>
      </c>
    </row>
    <row r="72" ht="38" customHeight="1">
      <c r="A72" s="14" t="inlineStr">
        <is>
          <t>Priva AI</t>
        </is>
      </c>
      <c r="B72" s="5" t="inlineStr">
        <is>
          <t>motion/assets/app/ai-agent-home.png</t>
        </is>
      </c>
      <c r="C72" s="9" t="inlineStr">
        <is>
          <t>Kurasi</t>
        </is>
      </c>
      <c r="D72" s="5" t="inlineStr">
        <is>
          <t>Sapaan, chip modul, saran pertanyaan</t>
        </is>
      </c>
      <c r="E72" s="30" t="inlineStr">
        <is>
          <t>Siap</t>
        </is>
      </c>
      <c r="F72" s="5" t="inlineStr"/>
    </row>
    <row r="73" ht="38" customHeight="1">
      <c r="A73" s="14" t="inlineStr">
        <is>
          <t>Priva AI</t>
        </is>
      </c>
      <c r="B73" s="5" t="inlineStr">
        <is>
          <t>motion/assets/app/ai-agent-chat.png</t>
        </is>
      </c>
      <c r="C73" s="9" t="inlineStr">
        <is>
          <t>Kurasi</t>
        </is>
      </c>
      <c r="D73" s="5" t="inlineStr">
        <is>
          <t>Jawaban Priva</t>
        </is>
      </c>
      <c r="E73" s="30" t="inlineStr">
        <is>
          <t>Siap</t>
        </is>
      </c>
      <c r="F73" s="5" t="inlineStr"/>
    </row>
    <row r="74" ht="38" customHeight="1">
      <c r="A74" s="14" t="inlineStr">
        <is>
          <t>Knowledge Base</t>
        </is>
      </c>
      <c r="B74" s="5" t="inlineStr">
        <is>
          <t>frontend/tmp/audit4/knowledge-base.png</t>
        </is>
      </c>
      <c r="C74" s="9" t="inlineStr">
        <is>
          <t>UI terbaru</t>
        </is>
      </c>
      <c r="D74" s="5" t="inlineStr">
        <is>
          <t>Daftar entri KB + Tambah KB Tenant</t>
        </is>
      </c>
      <c r="E74" s="31" t="inlineStr">
        <is>
          <t>Perlu blur</t>
        </is>
      </c>
      <c r="F74" s="5" t="inlineStr">
        <is>
          <t>Blur nama org [300,22,200,26]; buang sidebar (x&lt;200)</t>
        </is>
      </c>
    </row>
    <row r="75" ht="38" customHeight="1">
      <c r="A75" s="14" t="inlineStr">
        <is>
          <t>Holding</t>
        </is>
      </c>
      <c r="B75" s="5" t="inlineStr">
        <is>
          <t>motion/assets/app/holding-header.png</t>
        </is>
      </c>
      <c r="C75" s="9" t="inlineStr">
        <is>
          <t>Kurasi</t>
        </is>
      </c>
      <c r="D75" s="5" t="inlineStr">
        <is>
          <t>Judul &amp; tab (tanpa data grup)</t>
        </is>
      </c>
      <c r="E75" s="30" t="inlineStr">
        <is>
          <t>Siap</t>
        </is>
      </c>
      <c r="F75" s="5" t="inlineStr"/>
    </row>
    <row r="76" ht="38" customHeight="1">
      <c r="A76" s="14" t="inlineStr">
        <is>
          <t>Holding</t>
        </is>
      </c>
      <c r="B76" s="5" t="inlineStr">
        <is>
          <t>dataroom/03-tenant/holding-dashboard/01-overview.png</t>
        </is>
      </c>
      <c r="C76" s="9" t="inlineStr">
        <is>
          <t>Data demo</t>
        </is>
      </c>
      <c r="D76" s="5" t="inlineStr">
        <is>
          <t>KPI grup + daftar entitas</t>
        </is>
      </c>
      <c r="E76" s="31" t="inlineStr">
        <is>
          <t>Hanya KPI</t>
        </is>
      </c>
      <c r="F76" s="5" t="inlineStr">
        <is>
          <t>Jangan tampilkan daftar entitas</t>
        </is>
      </c>
    </row>
    <row r="77" ht="38" customHeight="1">
      <c r="A77" s="14" t="inlineStr">
        <is>
          <t>Holding</t>
        </is>
      </c>
      <c r="B77" s="5" t="inlineStr">
        <is>
          <t>dataroom/02-superadmin/holding-dashboard/*</t>
        </is>
      </c>
      <c r="C77" s="9" t="inlineStr">
        <is>
          <t>Superadmin</t>
        </is>
      </c>
      <c r="D77" s="5" t="inlineStr">
        <is>
          <t>Matriks &amp; pohon grup</t>
        </is>
      </c>
      <c r="E77" s="26" t="inlineStr">
        <is>
          <t>JANGAN DIPAKAI</t>
        </is>
      </c>
      <c r="F77" s="5" t="inlineStr">
        <is>
          <t>Berisi nama perusahaan nyata</t>
        </is>
      </c>
    </row>
    <row r="78" ht="38" customHeight="1">
      <c r="A78" s="14" t="inlineStr">
        <is>
          <t>PPDP</t>
        </is>
      </c>
      <c r="B78" s="5" t="inlineStr">
        <is>
          <t>frontend/tmp/audit4/ppdp.png</t>
        </is>
      </c>
      <c r="C78" s="9" t="inlineStr">
        <is>
          <t>UI terbaru</t>
        </is>
      </c>
      <c r="D78" s="5" t="inlineStr">
        <is>
          <t>Teralih ke dasbor</t>
        </is>
      </c>
      <c r="E78" s="26" t="inlineStr">
        <is>
          <t>Tidak ada</t>
        </is>
      </c>
      <c r="F78" s="5" t="inlineStr">
        <is>
          <t>AMBIL SCREENSHOT BARU halaman /ppdp</t>
        </is>
      </c>
    </row>
    <row r="79" ht="38" customHeight="1">
      <c r="A79" s="14" t="inlineStr">
        <is>
          <t>Paparan sanksi</t>
        </is>
      </c>
      <c r="B79" s="5" t="inlineStr">
        <is>
          <t>frontend/tmp/audit4/sanctions.png</t>
        </is>
      </c>
      <c r="C79" s="9" t="inlineStr">
        <is>
          <t>UI terbaru</t>
        </is>
      </c>
      <c r="D79" s="5" t="inlineStr">
        <is>
          <t>Teralih ke dasbor</t>
        </is>
      </c>
      <c r="E79" s="26" t="inlineStr">
        <is>
          <t>Tidak ada</t>
        </is>
      </c>
      <c r="F79" s="5" t="inlineStr">
        <is>
          <t>AMBIL SCREENSHOT BARU (cek rute)</t>
        </is>
      </c>
    </row>
    <row r="80" ht="38" customHeight="1">
      <c r="A80" s="14" t="inlineStr">
        <is>
          <t>DPO Academy</t>
        </is>
      </c>
      <c r="B80" s="5" t="inlineStr">
        <is>
          <t>motion/assets/app/dpo-academy.png</t>
        </is>
      </c>
      <c r="C80" s="9" t="inlineStr">
        <is>
          <t>Kurasi</t>
        </is>
      </c>
      <c r="D80" s="5" t="inlineStr">
        <is>
          <t>4 kartu kursus</t>
        </is>
      </c>
      <c r="E80" s="30" t="inlineStr">
        <is>
          <t>Siap</t>
        </is>
      </c>
      <c r="F80" s="5" t="inlineStr"/>
    </row>
    <row r="81" ht="38" customHeight="1">
      <c r="A81" s="14" t="inlineStr">
        <is>
          <t>DPO Academy</t>
        </is>
      </c>
      <c r="B81" s="5" t="inlineStr">
        <is>
          <t>dataroom/03-tenant/learn/01-overview.png</t>
        </is>
      </c>
      <c r="C81" s="9" t="inlineStr">
        <is>
          <t>Data demo</t>
        </is>
      </c>
      <c r="D81" s="5" t="inlineStr">
        <is>
          <t>Beranda Academy + sertifikat</t>
        </is>
      </c>
      <c r="E81" s="31" t="inlineStr">
        <is>
          <t>Perlu blur</t>
        </is>
      </c>
      <c r="F81" s="5" t="inlineStr">
        <is>
          <t>BLUR "Selamat datang, &lt;nama&gt;"</t>
        </is>
      </c>
    </row>
    <row r="82" ht="38" customHeight="1">
      <c r="A82" s="14" t="inlineStr">
        <is>
          <t>DPO Academy</t>
        </is>
      </c>
      <c r="B82" s="5" t="inlineStr">
        <is>
          <t>frontend/tmp/audit4/learn__badges.png</t>
        </is>
      </c>
      <c r="C82" s="9" t="inlineStr">
        <is>
          <t>UI terbaru</t>
        </is>
      </c>
      <c r="D82" s="5" t="inlineStr">
        <is>
          <t>Lencana &amp; XP</t>
        </is>
      </c>
      <c r="E82" s="31" t="inlineStr">
        <is>
          <t>Perlu blur</t>
        </is>
      </c>
      <c r="F82" s="5" t="inlineStr">
        <is>
          <t>Blur nama org [300,22,200,26]; buang sidebar (x&lt;200)</t>
        </is>
      </c>
    </row>
    <row r="84">
      <c r="A84" s="8" t="inlineStr">
        <is>
          <t>Screenshot yang perlu diambil baru (data dummy, tanpa nama/merek nyata)</t>
        </is>
      </c>
    </row>
    <row r="85" ht="34" customHeight="1">
      <c r="A85" s="3" t="inlineStr">
        <is>
          <t>Modul</t>
        </is>
      </c>
      <c r="B85" s="3" t="inlineStr">
        <is>
          <t>Halaman / rute</t>
        </is>
      </c>
      <c r="C85" s="3" t="inlineStr">
        <is>
          <t>Yang perlu tampil</t>
        </is>
      </c>
      <c r="D85" s="3" t="inlineStr">
        <is>
          <t>Dipakai di</t>
        </is>
      </c>
      <c r="E85" s="3" t="inlineStr"/>
      <c r="F85" s="3" t="inlineStr"/>
    </row>
    <row r="86" ht="40" customHeight="1">
      <c r="A86" s="27" t="inlineStr">
        <is>
          <t>LIA</t>
        </is>
      </c>
      <c r="B86" s="24" t="inlineStr">
        <is>
          <t>/lia</t>
        </is>
      </c>
      <c r="C86" s="24" t="inlineStr">
        <is>
          <t>2–3 LIA contoh (Draft, Submitted, Approved) + halaman detail penilaian (tujuan, kebutuhan, keseimbangan)</t>
        </is>
      </c>
      <c r="D86" s="24" t="inlineStr">
        <is>
          <t>M06, P24</t>
        </is>
      </c>
      <c r="E86" s="24" t="inlineStr"/>
      <c r="F86" s="24" t="inlineStr"/>
    </row>
    <row r="87" ht="40" customHeight="1">
      <c r="A87" s="27" t="inlineStr">
        <is>
          <t>PPDP</t>
        </is>
      </c>
      <c r="B87" s="24" t="inlineStr">
        <is>
          <t>/ppdp</t>
        </is>
      </c>
      <c r="C87" s="24" t="inlineStr">
        <is>
          <t>Penunjukan PPDP dengan data fiktif (nama, SK, cakupan)</t>
        </is>
      </c>
      <c r="D87" s="24" t="inlineStr">
        <is>
          <t>M20</t>
        </is>
      </c>
      <c r="E87" s="24" t="inlineStr"/>
      <c r="F87" s="24" t="inlineStr"/>
    </row>
    <row r="88" ht="40" customHeight="1">
      <c r="A88" s="27" t="inlineStr">
        <is>
          <t>Paparan sanksi</t>
        </is>
      </c>
      <c r="B88" s="24" t="inlineStr">
        <is>
          <t>cek rute modul paparan sanksi</t>
        </is>
      </c>
      <c r="C88" s="24" t="inlineStr">
        <is>
          <t>Pemetaan pasal bersanksi → modul, dengan status</t>
        </is>
      </c>
      <c r="D88" s="24" t="inlineStr">
        <is>
          <t>M20, P29</t>
        </is>
      </c>
      <c r="E88" s="24" t="inlineStr"/>
      <c r="F88" s="24" t="inlineStr"/>
    </row>
    <row r="89" ht="40" customHeight="1">
      <c r="A89" s="27" t="inlineStr">
        <is>
          <t>Holding</t>
        </is>
      </c>
      <c r="B89" s="24" t="inlineStr">
        <is>
          <t>/holding-dashboard (tenant demo)</t>
        </is>
      </c>
      <c r="C89" s="24" t="inlineStr">
        <is>
          <t>Compliance score per entitas, matriks, pohon: SEMUA nama entitas fiktif</t>
        </is>
      </c>
      <c r="D89" s="24" t="inlineStr">
        <is>
          <t>M21, P25</t>
        </is>
      </c>
      <c r="E89" s="24" t="inlineStr"/>
      <c r="F89" s="24" t="inlineStr"/>
    </row>
    <row r="90" ht="40" customHeight="1">
      <c r="A90" s="27" t="inlineStr">
        <is>
          <t>Children Pro</t>
        </is>
      </c>
      <c r="B90" s="24" t="inlineStr">
        <is>
          <t>/consent-guardian</t>
        </is>
      </c>
      <c r="C90" s="24" t="inlineStr">
        <is>
          <t>Data wali &amp; anak fiktif, contoh verifikasi &amp; peralihan</t>
        </is>
      </c>
      <c r="D90" s="24" t="inlineStr">
        <is>
          <t>M09</t>
        </is>
      </c>
      <c r="E90" s="24" t="inlineStr"/>
      <c r="F90" s="24" t="inlineStr"/>
    </row>
    <row r="91" ht="40" customHeight="1">
      <c r="A91" s="27" t="inlineStr">
        <is>
          <t>Inclusive Privacy</t>
        </is>
      </c>
      <c r="B91" s="24" t="inlineStr">
        <is>
          <t>/consent-accessibility</t>
        </is>
      </c>
      <c r="C91" s="24" t="inlineStr">
        <is>
          <t>Contoh pengaturan aksesibilitas &amp; DSR disabilitas</t>
        </is>
      </c>
      <c r="D91" s="24" t="inlineStr">
        <is>
          <t>M10</t>
        </is>
      </c>
      <c r="E91" s="24" t="inlineStr"/>
      <c r="F91" s="24" t="inlineStr"/>
    </row>
    <row r="92" ht="40" customHeight="1">
      <c r="A92" s="27" t="inlineStr">
        <is>
          <t>Data Discovery</t>
        </is>
      </c>
      <c r="B92" s="24" t="inlineStr">
        <is>
          <t>/data-discovery → Scan Pencarian Person</t>
        </is>
      </c>
      <c r="C92" s="24" t="inlineStr">
        <is>
          <t>Hasil pencarian satu orang fiktif di beberapa sistem</t>
        </is>
      </c>
      <c r="D92" s="24" t="inlineStr">
        <is>
          <t>M15</t>
        </is>
      </c>
      <c r="E92" s="24" t="inlineStr"/>
      <c r="F92" s="24" t="inlineStr"/>
    </row>
    <row r="93" ht="40" customHeight="1">
      <c r="A93" s="27" t="inlineStr">
        <is>
          <t>Umum</t>
        </is>
      </c>
      <c r="B93" s="24" t="inlineStr">
        <is>
          <t>semua modul (UI terbaru)</t>
        </is>
      </c>
      <c r="C93" s="24" t="inlineStr">
        <is>
          <t>Idealnya ambil ulang semua modul di tenant demo berdata dummy (UI terbaru), resolusi 1440×900 &amp; 1920×1080, tanpa nama/merek nyata</t>
        </is>
      </c>
      <c r="D93" s="24" t="inlineStr">
        <is>
          <t>Semua</t>
        </is>
      </c>
      <c r="E93" s="24" t="inlineStr"/>
      <c r="F93" s="24" t="inlineStr"/>
    </row>
  </sheetData>
  <autoFilter ref="A4:F82"/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26" customWidth="1" min="4" max="4"/>
    <col width="30" customWidth="1" min="5" max="5"/>
    <col width="30" customWidth="1" min="6" max="6"/>
    <col width="40" customWidth="1" min="7" max="7"/>
    <col width="26" customWidth="1" min="8" max="8"/>
    <col width="30" customWidth="1" min="9" max="9"/>
    <col width="30" customWidth="1" min="10" max="10"/>
  </cols>
  <sheetData>
    <row r="1">
      <c r="A1" s="10" t="inlineStr">
        <is>
          <t>Bank sound meme: hasil cek myinstants.com/en/search/?name=meme (36 tombol, halaman 1)</t>
        </is>
      </c>
    </row>
    <row r="2" ht="46" customHeight="1">
      <c r="A2" s="32" t="inlineStr">
        <is>
          <t>PENTING: Ketentuan Penggunaan myinstants hanya memberi izin akses untuk penggunaan PRIBADI &amp; NONKOMERSIAL, dan suaranya unggahan pengguna tanpa lisensi dari pemilik asli (mis. "Faaaah by Taileons"). Jadi file aslinya TIDAK dipakai untuk iklan. Pakai kolom "Versi aman": synth orisinal di motion/lib/audio.js atau rekaman ulang tim di motion/sfx-kustom/.</t>
        </is>
      </c>
    </row>
    <row r="4" ht="34" customHeight="1">
      <c r="A4" s="3" t="inlineStr">
        <is>
          <t>No</t>
        </is>
      </c>
      <c r="B4" s="3" t="inlineStr">
        <is>
          <t>Nama di myinstants</t>
        </is>
      </c>
      <c r="C4" s="3" t="inlineStr">
        <is>
          <t>Tautan</t>
        </is>
      </c>
      <c r="D4" s="3" t="inlineStr">
        <is>
          <t>Jenis</t>
        </is>
      </c>
      <c r="E4" s="3" t="inlineStr">
        <is>
          <t>Momen di alur iklan</t>
        </is>
      </c>
      <c r="F4" s="3" t="inlineStr">
        <is>
          <t>Risiko hak / merek</t>
        </is>
      </c>
      <c r="G4" s="3" t="inlineStr">
        <is>
          <t>Versi aman</t>
        </is>
      </c>
      <c r="H4" s="3" t="inlineStr">
        <is>
          <t>Nama di scenes.js ('sfx')</t>
        </is>
      </c>
      <c r="I4" s="3" t="inlineStr">
        <is>
          <t>Status versi aman</t>
        </is>
      </c>
      <c r="J4" s="3" t="inlineStr">
        <is>
          <t>Dipakai di konsep</t>
        </is>
      </c>
    </row>
    <row r="5" ht="46" customHeight="1">
      <c r="A5" s="9" t="n">
        <v>1</v>
      </c>
      <c r="B5" s="5" t="inlineStr">
        <is>
          <t>Meme</t>
        </is>
      </c>
      <c r="C5" s="33" t="inlineStr">
        <is>
          <t>https://www.myinstants.com/en/instant/meme/</t>
        </is>
      </c>
      <c r="D5" s="5" t="inlineStr">
        <is>
          <t>Vokal ("are you out of your mind?")</t>
        </is>
      </c>
      <c r="E5" s="5" t="inlineStr">
        <is>
          <t>Saat ada usul praktik data yang ngawur</t>
        </is>
      </c>
      <c r="F5" s="24" t="inlineStr">
        <is>
          <t>Tinggi: rekaman orang lain</t>
        </is>
      </c>
      <c r="G5" s="5" t="inlineStr">
        <is>
          <t>Rekam ulang tim: "Kamu gila, ya?"</t>
        </is>
      </c>
      <c r="H5" s="5" t="inlineStr">
        <is>
          <t>sfx-kustom/gila.wav → 'file:gila'</t>
        </is>
      </c>
      <c r="I5" s="23" t="inlineStr">
        <is>
          <t>Perlu rekaman tim → motion/sfx-kustom/</t>
        </is>
      </c>
      <c r="J5" s="5" t="inlineStr">
        <is>
          <t>A09, A29</t>
        </is>
      </c>
    </row>
    <row r="6" ht="46" customHeight="1">
      <c r="A6" s="9" t="n">
        <v>2</v>
      </c>
      <c r="B6" s="5" t="inlineStr">
        <is>
          <t>FAAAH</t>
        </is>
      </c>
      <c r="C6" s="33" t="inlineStr">
        <is>
          <t>https://www.myinstants.com/en/instant/faaah-63455/</t>
        </is>
      </c>
      <c r="D6" s="5" t="inlineStr">
        <is>
          <t>Vokal teriakan frustrasi ("Faaaah by Taileons")</t>
        </is>
      </c>
      <c r="E6" s="5" t="inlineStr">
        <is>
          <t>Momen gagal total / ketahuan belum patuh</t>
        </is>
      </c>
      <c r="F6" s="24" t="inlineStr">
        <is>
          <t>Tinggi: rekaman kreator (Taileons), tanpa lisensi komersial</t>
        </is>
      </c>
      <c r="G6" s="5" t="inlineStr">
        <is>
          <t>Rekam ulang tim (teriak panjang "FAAAH") atau ElevenLabs v3 dengan tag [shouts]</t>
        </is>
      </c>
      <c r="H6" s="5" t="inlineStr">
        <is>
          <t>sfx-kustom/faah.wav → 'file:faah'</t>
        </is>
      </c>
      <c r="I6" s="23" t="inlineStr">
        <is>
          <t>Perlu rekaman tim → motion/sfx-kustom/</t>
        </is>
      </c>
      <c r="J6" s="5" t="inlineStr">
        <is>
          <t>A01, A05, A14, A19, A21, A24, A27, A29, A44, A45</t>
        </is>
      </c>
    </row>
    <row r="7" ht="46" customHeight="1">
      <c r="A7" s="9" t="n">
        <v>3</v>
      </c>
      <c r="B7" s="5" t="inlineStr">
        <is>
          <t>Sad Violin (the meme one)</t>
        </is>
      </c>
      <c r="C7" s="33" t="inlineStr">
        <is>
          <t>https://www.myinstants.com/en/instant/sad-violin-the-meme-one/</t>
        </is>
      </c>
      <c r="D7" s="5" t="inlineStr">
        <is>
          <t>Musik (cuplikan game/rekaman)</t>
        </is>
      </c>
      <c r="E7" s="5" t="inlineStr">
        <is>
          <t>Momen sedih-lebay</t>
        </is>
      </c>
      <c r="F7" s="24" t="inlineStr">
        <is>
          <t>Tinggi: rekaman berhak cipta</t>
        </is>
      </c>
      <c r="G7" s="5" t="inlineStr">
        <is>
          <t>Synth orisinal "sadviolin" (melodi sendiri)</t>
        </is>
      </c>
      <c r="H7" s="5" t="inlineStr">
        <is>
          <t>'sadviolin'</t>
        </is>
      </c>
      <c r="I7" s="22" t="inlineStr">
        <is>
          <t>Siap di pipeline</t>
        </is>
      </c>
      <c r="J7" s="5" t="inlineStr">
        <is>
          <t>A14, A36, A41</t>
        </is>
      </c>
    </row>
    <row r="8" ht="46" customHeight="1">
      <c r="A8" s="9" t="n">
        <v>4</v>
      </c>
      <c r="B8" s="5" t="inlineStr">
        <is>
          <t>Among Us role reveal sound</t>
        </is>
      </c>
      <c r="C8" s="33" t="inlineStr">
        <is>
          <t>https://www.myinstants.com/en/instant/among-us-role-reveal-sound-34956/</t>
        </is>
      </c>
      <c r="D8" s="5" t="inlineStr">
        <is>
          <t>SFX game</t>
        </is>
      </c>
      <c r="E8" s="5" t="inlineStr">
        <is>
          <t>Pengungkapan "pelaku"</t>
        </is>
      </c>
      <c r="F8" s="24" t="inlineStr">
        <is>
          <t>Tinggi: aset game (IP)</t>
        </is>
      </c>
      <c r="G8" s="5" t="inlineStr">
        <is>
          <t>Synth orisinal "reveal"</t>
        </is>
      </c>
      <c r="H8" s="5" t="inlineStr">
        <is>
          <t>'reveal'</t>
        </is>
      </c>
      <c r="I8" s="22" t="inlineStr">
        <is>
          <t>Siap di pipeline</t>
        </is>
      </c>
      <c r="J8" s="5" t="inlineStr">
        <is>
          <t>A39</t>
        </is>
      </c>
    </row>
    <row r="9" ht="46" customHeight="1">
      <c r="A9" s="9" t="n">
        <v>5</v>
      </c>
      <c r="B9" s="5" t="inlineStr">
        <is>
          <t>Error SOUNDSS</t>
        </is>
      </c>
      <c r="C9" s="33" t="inlineStr">
        <is>
          <t>https://www.myinstants.com/en/instant/error-soundss-25534/</t>
        </is>
      </c>
      <c r="D9" s="5" t="inlineStr">
        <is>
          <t>SFX error sistem</t>
        </is>
      </c>
      <c r="E9" s="5" t="inlineStr">
        <is>
          <t>Salah input / password lemah</t>
        </is>
      </c>
      <c r="F9" s="23" t="inlineStr">
        <is>
          <t>Sedang: suara sistem operasi bermerek</t>
        </is>
      </c>
      <c r="G9" s="5" t="inlineStr">
        <is>
          <t>Synth orisinal "error"</t>
        </is>
      </c>
      <c r="H9" s="5" t="inlineStr">
        <is>
          <t>'error'</t>
        </is>
      </c>
      <c r="I9" s="22" t="inlineStr">
        <is>
          <t>Siap di pipeline</t>
        </is>
      </c>
      <c r="J9" s="5" t="inlineStr">
        <is>
          <t>A29</t>
        </is>
      </c>
    </row>
    <row r="10" ht="46" customHeight="1">
      <c r="A10" s="9" t="n">
        <v>6</v>
      </c>
      <c r="B10" s="5" t="inlineStr">
        <is>
          <t>baby laughing meme</t>
        </is>
      </c>
      <c r="C10" s="33" t="inlineStr">
        <is>
          <t>https://www.myinstants.com/en/instant/baby-laughing-meme-56428/</t>
        </is>
      </c>
      <c r="D10" s="5" t="inlineStr">
        <is>
          <t>Vokal bayi (orang nyata)</t>
        </is>
      </c>
      <c r="E10" s="5" t="inlineStr">
        <is>
          <t>Tertawa</t>
        </is>
      </c>
      <c r="F10" s="24" t="inlineStr">
        <is>
          <t>Tinggi: suara anak nyata (data pribadi + hak)</t>
        </is>
      </c>
      <c r="G10" s="5" t="inlineStr">
        <is>
          <t>Hindari; pakai tawa tim dewasa bila perlu</t>
        </is>
      </c>
      <c r="H10" s="5" t="inlineStr">
        <is>
          <t>—</t>
        </is>
      </c>
      <c r="I10" s="5" t="inlineStr">
        <is>
          <t>Hindari</t>
        </is>
      </c>
      <c r="J10" s="5" t="inlineStr">
        <is>
          <t>—</t>
        </is>
      </c>
    </row>
    <row r="11" ht="46" customHeight="1">
      <c r="A11" s="9" t="n">
        <v>7</v>
      </c>
      <c r="B11" s="5" t="inlineStr">
        <is>
          <t>Punch Sound</t>
        </is>
      </c>
      <c r="C11" s="33" t="inlineStr">
        <is>
          <t>https://www.myinstants.com/en/instant/punch-sound-86161/</t>
        </is>
      </c>
      <c r="D11" s="5" t="inlineStr">
        <is>
          <t>SFX pukulan</t>
        </is>
      </c>
      <c r="E11" s="5" t="inlineStr">
        <is>
          <t>Pukulan telak (fakta keras)</t>
        </is>
      </c>
      <c r="F11" s="23" t="inlineStr">
        <is>
          <t>Sedang: sumber tidak jelas</t>
        </is>
      </c>
      <c r="G11" s="5" t="inlineStr">
        <is>
          <t>Synth "hit" / "impact" (sudah ada)</t>
        </is>
      </c>
      <c r="H11" s="5" t="inlineStr">
        <is>
          <t>'hit' · 'impact'</t>
        </is>
      </c>
      <c r="I11" s="22" t="inlineStr">
        <is>
          <t>Siap di pipeline</t>
        </is>
      </c>
      <c r="J11" s="5" t="inlineStr">
        <is>
          <t>A08</t>
        </is>
      </c>
    </row>
    <row r="12" ht="46" customHeight="1">
      <c r="A12" s="9" t="n">
        <v>8</v>
      </c>
      <c r="B12" s="5" t="inlineStr">
        <is>
          <t>spiderman meme song</t>
        </is>
      </c>
      <c r="C12" s="33" t="inlineStr">
        <is>
          <t>https://www.myinstants.com/en/instant/spiderman-meme-song-37638/</t>
        </is>
      </c>
      <c r="D12" s="5" t="inlineStr">
        <is>
          <t>Lagu</t>
        </is>
      </c>
      <c r="E12" s="5" t="inlineStr">
        <is>
          <t>—</t>
        </is>
      </c>
      <c r="F12" s="24" t="inlineStr">
        <is>
          <t>Tinggi: lagu berhak cipta</t>
        </is>
      </c>
      <c r="G12" s="5" t="inlineStr">
        <is>
          <t>Hindari</t>
        </is>
      </c>
      <c r="H12" s="5" t="inlineStr">
        <is>
          <t>—</t>
        </is>
      </c>
      <c r="I12" s="5" t="inlineStr">
        <is>
          <t>Hindari</t>
        </is>
      </c>
      <c r="J12" s="5" t="inlineStr">
        <is>
          <t>—</t>
        </is>
      </c>
    </row>
    <row r="13" ht="46" customHeight="1">
      <c r="A13" s="9" t="n">
        <v>9</v>
      </c>
      <c r="B13" s="5" t="inlineStr">
        <is>
          <t>instagram thud (vine boom)</t>
        </is>
      </c>
      <c r="C13" s="33" t="inlineStr">
        <is>
          <t>https://www.myinstants.com/en/instant/instagram-thud-55328/</t>
        </is>
      </c>
      <c r="D13" s="5" t="inlineStr">
        <is>
          <t>SFX "bwoom"</t>
        </is>
      </c>
      <c r="E13" s="5" t="inlineStr">
        <is>
          <t>Punchline / reveal</t>
        </is>
      </c>
      <c r="F13" s="23" t="inlineStr">
        <is>
          <t>Sedang: rekaman asli tak berlisensi</t>
        </is>
      </c>
      <c r="G13" s="5" t="inlineStr">
        <is>
          <t>Synth "vineboom" (sudah ada)</t>
        </is>
      </c>
      <c r="H13" s="5" t="inlineStr">
        <is>
          <t>'vineboom'</t>
        </is>
      </c>
      <c r="I13" s="22" t="inlineStr">
        <is>
          <t>Siap di pipeline</t>
        </is>
      </c>
      <c r="J13" s="5" t="inlineStr">
        <is>
          <t>A02, A03, A09, A33, A39</t>
        </is>
      </c>
    </row>
    <row r="14" ht="46" customHeight="1">
      <c r="A14" s="9" t="n">
        <v>10</v>
      </c>
      <c r="B14" s="5" t="inlineStr">
        <is>
          <t>Shocked sound</t>
        </is>
      </c>
      <c r="C14" s="33" t="inlineStr">
        <is>
          <t>https://www.myinstants.com/en/instant/shocked-sound-37548/</t>
        </is>
      </c>
      <c r="D14" s="5" t="inlineStr">
        <is>
          <t>SFX kaget</t>
        </is>
      </c>
      <c r="E14" s="5" t="inlineStr">
        <is>
          <t>Kaget</t>
        </is>
      </c>
      <c r="F14" s="23" t="inlineStr">
        <is>
          <t>Sedang</t>
        </is>
      </c>
      <c r="G14" s="5" t="inlineStr">
        <is>
          <t>Synth orisinal "shock"</t>
        </is>
      </c>
      <c r="H14" s="5" t="inlineStr">
        <is>
          <t>'shock'</t>
        </is>
      </c>
      <c r="I14" s="22" t="inlineStr">
        <is>
          <t>Siap di pipeline</t>
        </is>
      </c>
      <c r="J14" s="5" t="inlineStr">
        <is>
          <t>A08, A26</t>
        </is>
      </c>
    </row>
    <row r="15" ht="46" customHeight="1">
      <c r="A15" s="9" t="n">
        <v>11</v>
      </c>
      <c r="B15" s="5" t="inlineStr">
        <is>
          <t>dun dun dunnnnnnnn</t>
        </is>
      </c>
      <c r="C15" s="33" t="inlineStr">
        <is>
          <t>https://www.myinstants.com/en/instant/dun-dun-dunnnnnnnn-68584/</t>
        </is>
      </c>
      <c r="D15" s="5" t="inlineStr">
        <is>
          <t>SFX dramatis</t>
        </is>
      </c>
      <c r="E15" s="5" t="inlineStr">
        <is>
          <t>Fakta menakutkan (denda, akses)</t>
        </is>
      </c>
      <c r="F15" s="23" t="inlineStr">
        <is>
          <t>Sedang</t>
        </is>
      </c>
      <c r="G15" s="5" t="inlineStr">
        <is>
          <t>Synth "dundun" (sudah ada)</t>
        </is>
      </c>
      <c r="H15" s="5" t="inlineStr">
        <is>
          <t>'dundun'</t>
        </is>
      </c>
      <c r="I15" s="22" t="inlineStr">
        <is>
          <t>Siap di pipeline</t>
        </is>
      </c>
      <c r="J15" s="5" t="inlineStr">
        <is>
          <t>A08, A13, A25, A38, A42</t>
        </is>
      </c>
    </row>
    <row r="16" ht="46" customHeight="1">
      <c r="A16" s="9" t="n">
        <v>12</v>
      </c>
      <c r="B16" s="5" t="inlineStr">
        <is>
          <t>Звук фотоаппарата (shutter)</t>
        </is>
      </c>
      <c r="C16" s="33" t="inlineStr">
        <is>
          <t>https://www.myinstants.com/en/instant/zvuk-fotoapparata-61186/</t>
        </is>
      </c>
      <c r="D16" s="5" t="inlineStr">
        <is>
          <t>SFX kamera</t>
        </is>
      </c>
      <c r="E16" s="5" t="inlineStr">
        <is>
          <t>Freeze frame / bukti</t>
        </is>
      </c>
      <c r="F16" s="22" t="inlineStr">
        <is>
          <t>Rendah–sedang</t>
        </is>
      </c>
      <c r="G16" s="5" t="inlineStr">
        <is>
          <t>Synth "shutter" (sudah ada)</t>
        </is>
      </c>
      <c r="H16" s="5" t="inlineStr">
        <is>
          <t>'shutter'</t>
        </is>
      </c>
      <c r="I16" s="22" t="inlineStr">
        <is>
          <t>Siap di pipeline</t>
        </is>
      </c>
      <c r="J16" s="5" t="inlineStr">
        <is>
          <t>A17</t>
        </is>
      </c>
    </row>
    <row r="17" ht="46" customHeight="1">
      <c r="A17" s="9" t="n">
        <v>13</v>
      </c>
      <c r="B17" s="5" t="inlineStr">
        <is>
          <t>Death sound (Fortnite)</t>
        </is>
      </c>
      <c r="C17" s="33" t="inlineStr">
        <is>
          <t>https://www.myinstants.com/en/instant/death-sound-fortnite-13941/</t>
        </is>
      </c>
      <c r="D17" s="5" t="inlineStr">
        <is>
          <t>SFX game</t>
        </is>
      </c>
      <c r="E17" s="5" t="inlineStr">
        <is>
          <t>Gagal/"mati"</t>
        </is>
      </c>
      <c r="F17" s="24" t="inlineStr">
        <is>
          <t>Tinggi: aset game (IP)</t>
        </is>
      </c>
      <c r="G17" s="5" t="inlineStr">
        <is>
          <t>Synth orisinal "gameover" (8-bit)</t>
        </is>
      </c>
      <c r="H17" s="5" t="inlineStr">
        <is>
          <t>'gameover'</t>
        </is>
      </c>
      <c r="I17" s="22" t="inlineStr">
        <is>
          <t>Siap di pipeline</t>
        </is>
      </c>
      <c r="J17" s="5" t="inlineStr">
        <is>
          <t>A19, A29</t>
        </is>
      </c>
    </row>
    <row r="18" ht="46" customHeight="1">
      <c r="A18" s="9" t="n">
        <v>14</v>
      </c>
      <c r="B18" s="5" t="inlineStr">
        <is>
          <t>Emotional Damage Meme</t>
        </is>
      </c>
      <c r="C18" s="33" t="inlineStr">
        <is>
          <t>https://www.myinstants.com/en/instant/emotional-damage-meme-74555/</t>
        </is>
      </c>
      <c r="D18" s="5" t="inlineStr">
        <is>
          <t>Vokal (catchphrase kreator)</t>
        </is>
      </c>
      <c r="E18" s="5" t="inlineStr">
        <is>
          <t>Fakta yang "menyakitkan"</t>
        </is>
      </c>
      <c r="F18" s="24" t="inlineStr">
        <is>
          <t>Tinggi: suara &amp; persona kreator</t>
        </is>
      </c>
      <c r="G18" s="5" t="inlineStr">
        <is>
          <t>Rekam ulang tim dengan suara &amp; logat sendiri (jangan meniru etnis/logat)</t>
        </is>
      </c>
      <c r="H18" s="5" t="inlineStr">
        <is>
          <t>sfx-kustom/emotional-damage.wav</t>
        </is>
      </c>
      <c r="I18" s="23" t="inlineStr">
        <is>
          <t>Perlu rekaman tim → motion/sfx-kustom/</t>
        </is>
      </c>
      <c r="J18" s="5" t="inlineStr">
        <is>
          <t>A08</t>
        </is>
      </c>
    </row>
    <row r="19" ht="46" customHeight="1">
      <c r="A19" s="9" t="n">
        <v>15</v>
      </c>
      <c r="B19" s="5" t="inlineStr">
        <is>
          <t>cat laugh meme 1</t>
        </is>
      </c>
      <c r="C19" s="33" t="inlineStr">
        <is>
          <t>https://www.myinstants.com/en/instant/cat-laugh-meme-1-15761/</t>
        </is>
      </c>
      <c r="D19" s="5" t="inlineStr">
        <is>
          <t>Vokal hewan (klip orang lain)</t>
        </is>
      </c>
      <c r="E19" s="5" t="inlineStr">
        <is>
          <t>Tertawa</t>
        </is>
      </c>
      <c r="F19" s="23" t="inlineStr">
        <is>
          <t>Sedang</t>
        </is>
      </c>
      <c r="G19" s="5" t="inlineStr">
        <is>
          <t>Hindari</t>
        </is>
      </c>
      <c r="H19" s="5" t="inlineStr">
        <is>
          <t>—</t>
        </is>
      </c>
      <c r="I19" s="5" t="inlineStr">
        <is>
          <t>Hindari</t>
        </is>
      </c>
      <c r="J19" s="5" t="inlineStr">
        <is>
          <t>—</t>
        </is>
      </c>
    </row>
    <row r="20" ht="46" customHeight="1">
      <c r="A20" s="9" t="n">
        <v>16</v>
      </c>
      <c r="B20" s="5" t="inlineStr">
        <is>
          <t>Galaxy meme</t>
        </is>
      </c>
      <c r="C20" s="33" t="inlineStr">
        <is>
          <t>https://www.myinstants.com/en/instant/galaxy-meme-18643/</t>
        </is>
      </c>
      <c r="D20" s="5" t="inlineStr">
        <is>
          <t>Ambience "galaxy brain"</t>
        </is>
      </c>
      <c r="E20" s="5" t="inlineStr">
        <is>
          <t>Ide "jenius"</t>
        </is>
      </c>
      <c r="F20" s="23" t="inlineStr">
        <is>
          <t>Sedang</t>
        </is>
      </c>
      <c r="G20" s="5" t="inlineStr">
        <is>
          <t>Synth "shimmer"/"riserLong" (sudah ada)</t>
        </is>
      </c>
      <c r="H20" s="5" t="inlineStr">
        <is>
          <t>'shimmer'</t>
        </is>
      </c>
      <c r="I20" s="22" t="inlineStr">
        <is>
          <t>Siap di pipeline</t>
        </is>
      </c>
      <c r="J20" s="5" t="inlineStr">
        <is>
          <t>A35</t>
        </is>
      </c>
    </row>
    <row r="21" ht="46" customHeight="1">
      <c r="A21" s="9" t="n">
        <v>17</v>
      </c>
      <c r="B21" s="5" t="inlineStr">
        <is>
          <t>Fart Meme Sound</t>
        </is>
      </c>
      <c r="C21" s="33" t="inlineStr">
        <is>
          <t>https://www.myinstants.com/en/instant/fart-meme-sound-46799/</t>
        </is>
      </c>
      <c r="D21" s="5" t="inlineStr">
        <is>
          <t>SFX kentut</t>
        </is>
      </c>
      <c r="E21" s="5" t="inlineStr">
        <is>
          <t>—</t>
        </is>
      </c>
      <c r="F21" s="24" t="inlineStr">
        <is>
          <t>Brand safety</t>
        </is>
      </c>
      <c r="G21" s="5" t="inlineStr">
        <is>
          <t>Hindari (tidak sesuai citra B2B)</t>
        </is>
      </c>
      <c r="H21" s="5" t="inlineStr">
        <is>
          <t>—</t>
        </is>
      </c>
      <c r="I21" s="5" t="inlineStr">
        <is>
          <t>Hindari</t>
        </is>
      </c>
      <c r="J21" s="5" t="inlineStr">
        <is>
          <t>—</t>
        </is>
      </c>
    </row>
    <row r="22" ht="46" customHeight="1">
      <c r="A22" s="9" t="n">
        <v>18</v>
      </c>
      <c r="B22" s="5" t="inlineStr">
        <is>
          <t>Meme final (créditos finales)</t>
        </is>
      </c>
      <c r="C22" s="33" t="inlineStr">
        <is>
          <t>https://www.myinstants.com/en/instant/meme-final-91448/</t>
        </is>
      </c>
      <c r="D22" s="5" t="inlineStr">
        <is>
          <t>Lagu penutup ("directed by…")</t>
        </is>
      </c>
      <c r="E22" s="5" t="inlineStr">
        <is>
          <t>Ending gagal</t>
        </is>
      </c>
      <c r="F22" s="24" t="inlineStr">
        <is>
          <t>Tinggi: lagu berhak cipta</t>
        </is>
      </c>
      <c r="G22" s="5" t="inlineStr">
        <is>
          <t>Synth orisinal "outro" (jingle kocak)</t>
        </is>
      </c>
      <c r="H22" s="5" t="inlineStr">
        <is>
          <t>'outro'</t>
        </is>
      </c>
      <c r="I22" s="22" t="inlineStr">
        <is>
          <t>Siap di pipeline</t>
        </is>
      </c>
      <c r="J22" s="5" t="inlineStr">
        <is>
          <t>A19, A39</t>
        </is>
      </c>
    </row>
    <row r="23" ht="46" customHeight="1">
      <c r="A23" s="9" t="n">
        <v>19</v>
      </c>
      <c r="B23" s="5" t="inlineStr">
        <is>
          <t>RUN vine</t>
        </is>
      </c>
      <c r="C23" s="33" t="inlineStr">
        <is>
          <t>https://www.myinstants.com/en/instant/run-vine/</t>
        </is>
      </c>
      <c r="D23" s="5" t="inlineStr">
        <is>
          <t>Vokal "RUN!"</t>
        </is>
      </c>
      <c r="E23" s="5" t="inlineStr">
        <is>
          <t>Panik (DSR/insiden)</t>
        </is>
      </c>
      <c r="F23" s="24" t="inlineStr">
        <is>
          <t>Tinggi: rekaman orang lain</t>
        </is>
      </c>
      <c r="G23" s="5" t="inlineStr">
        <is>
          <t>Rekam ulang tim: "LARIII!"</t>
        </is>
      </c>
      <c r="H23" s="5" t="inlineStr">
        <is>
          <t>sfx-kustom/lari.wav</t>
        </is>
      </c>
      <c r="I23" s="23" t="inlineStr">
        <is>
          <t>Perlu rekaman tim → motion/sfx-kustom/</t>
        </is>
      </c>
      <c r="J23" s="5" t="inlineStr">
        <is>
          <t>A10</t>
        </is>
      </c>
    </row>
    <row r="24" ht="46" customHeight="1">
      <c r="A24" s="9" t="n">
        <v>20</v>
      </c>
      <c r="B24" s="5" t="inlineStr">
        <is>
          <t>HAha funny laugh</t>
        </is>
      </c>
      <c r="C24" s="33" t="inlineStr">
        <is>
          <t>https://www.myinstants.com/en/instant/haha-funny-laugh-93061/</t>
        </is>
      </c>
      <c r="D24" s="5" t="inlineStr">
        <is>
          <t>Vokal tawa</t>
        </is>
      </c>
      <c r="E24" s="5" t="inlineStr">
        <is>
          <t>Tawa</t>
        </is>
      </c>
      <c r="F24" s="24" t="inlineStr">
        <is>
          <t>Tinggi</t>
        </is>
      </c>
      <c r="G24" s="5" t="inlineStr">
        <is>
          <t>Rekam tawa tim</t>
        </is>
      </c>
      <c r="H24" s="5" t="inlineStr">
        <is>
          <t>sfx-kustom/tawa.wav</t>
        </is>
      </c>
      <c r="I24" s="23" t="inlineStr">
        <is>
          <t>Perlu rekaman tim → motion/sfx-kustom/</t>
        </is>
      </c>
      <c r="J24" s="5" t="inlineStr">
        <is>
          <t>—</t>
        </is>
      </c>
    </row>
    <row r="25" ht="46" customHeight="1">
      <c r="A25" s="9" t="n">
        <v>21</v>
      </c>
      <c r="B25" s="5" t="inlineStr">
        <is>
          <t>Dexter meme</t>
        </is>
      </c>
      <c r="C25" s="33" t="inlineStr">
        <is>
          <t>https://www.myinstants.com/en/instant/dexter-meme-26140/</t>
        </is>
      </c>
      <c r="D25" s="5" t="inlineStr">
        <is>
          <t>Cuplikan serial TV</t>
        </is>
      </c>
      <c r="E25" s="5" t="inlineStr">
        <is>
          <t>—</t>
        </is>
      </c>
      <c r="F25" s="24" t="inlineStr">
        <is>
          <t>Tinggi: IP serial</t>
        </is>
      </c>
      <c r="G25" s="5" t="inlineStr">
        <is>
          <t>Hindari</t>
        </is>
      </c>
      <c r="H25" s="5" t="inlineStr">
        <is>
          <t>—</t>
        </is>
      </c>
      <c r="I25" s="5" t="inlineStr">
        <is>
          <t>Hindari</t>
        </is>
      </c>
      <c r="J25" s="5" t="inlineStr">
        <is>
          <t>—</t>
        </is>
      </c>
    </row>
    <row r="26" ht="46" customHeight="1">
      <c r="A26" s="9" t="n">
        <v>22</v>
      </c>
      <c r="B26" s="5" t="inlineStr">
        <is>
          <t>-999 Social Credit Siren</t>
        </is>
      </c>
      <c r="C26" s="33" t="inlineStr">
        <is>
          <t>https://www.myinstants.com/en/instant/999-social-credit-siren-82729/</t>
        </is>
      </c>
      <c r="D26" s="5" t="inlineStr">
        <is>
          <t>Meme politis</t>
        </is>
      </c>
      <c r="E26" s="5" t="inlineStr">
        <is>
          <t>—</t>
        </is>
      </c>
      <c r="F26" s="24" t="inlineStr">
        <is>
          <t>Tinggi: bermuatan politik</t>
        </is>
      </c>
      <c r="G26" s="5" t="inlineStr">
        <is>
          <t>Hindari; ganti penghitung "aura" (sudah ada)</t>
        </is>
      </c>
      <c r="H26" s="5" t="inlineStr">
        <is>
          <t>'auraDown'</t>
        </is>
      </c>
      <c r="I26" s="22" t="inlineStr">
        <is>
          <t>Siap di pipeline</t>
        </is>
      </c>
      <c r="J26" s="5" t="inlineStr">
        <is>
          <t>A43</t>
        </is>
      </c>
    </row>
    <row r="27" ht="46" customHeight="1">
      <c r="A27" s="9" t="n">
        <v>23</v>
      </c>
      <c r="B27" s="5" t="inlineStr">
        <is>
          <t>asian meme huh?</t>
        </is>
      </c>
      <c r="C27" s="33" t="inlineStr">
        <is>
          <t>https://www.myinstants.com/en/instant/asian-meme-huh-49043/</t>
        </is>
      </c>
      <c r="D27" s="5" t="inlineStr">
        <is>
          <t>Vokal "huh?"</t>
        </is>
      </c>
      <c r="E27" s="5" t="inlineStr">
        <is>
          <t>Bingung</t>
        </is>
      </c>
      <c r="F27" s="24" t="inlineStr">
        <is>
          <t>Tinggi: rekaman orang lain; judul bernuansa stereotip</t>
        </is>
      </c>
      <c r="G27" s="5" t="inlineStr">
        <is>
          <t>Rekam ulang tim: "HAH?" (tanpa meniru logat/etnis)</t>
        </is>
      </c>
      <c r="H27" s="5" t="inlineStr">
        <is>
          <t>sfx-kustom/hah.wav</t>
        </is>
      </c>
      <c r="I27" s="23" t="inlineStr">
        <is>
          <t>Perlu rekaman tim → motion/sfx-kustom/</t>
        </is>
      </c>
      <c r="J27" s="5" t="inlineStr">
        <is>
          <t>A09, A11, A28, A34</t>
        </is>
      </c>
    </row>
    <row r="28" ht="46" customHeight="1">
      <c r="A28" s="9" t="n">
        <v>24</v>
      </c>
      <c r="B28" s="5" t="inlineStr">
        <is>
          <t>*Snore* mimimimimimi</t>
        </is>
      </c>
      <c r="C28" s="33" t="inlineStr">
        <is>
          <t>https://www.myinstants.com/en/instant/snore-mimimimimimi-76562/</t>
        </is>
      </c>
      <c r="D28" s="5" t="inlineStr">
        <is>
          <t>Vokal kartun mendengkur</t>
        </is>
      </c>
      <c r="E28" s="5" t="inlineStr">
        <is>
          <t>Rapat membosankan</t>
        </is>
      </c>
      <c r="F28" s="24" t="inlineStr">
        <is>
          <t>Tinggi: cuplikan kartun</t>
        </is>
      </c>
      <c r="G28" s="5" t="inlineStr">
        <is>
          <t>Rekam ulang tim (dengkur kocak)</t>
        </is>
      </c>
      <c r="H28" s="5" t="inlineStr">
        <is>
          <t>sfx-kustom/dengkur.wav</t>
        </is>
      </c>
      <c r="I28" s="23" t="inlineStr">
        <is>
          <t>Perlu rekaman tim → motion/sfx-kustom/</t>
        </is>
      </c>
      <c r="J28" s="5" t="inlineStr">
        <is>
          <t>A21</t>
        </is>
      </c>
    </row>
    <row r="29" ht="46" customHeight="1">
      <c r="A29" s="9" t="n">
        <v>25</v>
      </c>
      <c r="B29" s="5" t="inlineStr">
        <is>
          <t>outro song</t>
        </is>
      </c>
      <c r="C29" s="33" t="inlineStr">
        <is>
          <t>https://www.myinstants.com/en/instant/outro-song-77850/</t>
        </is>
      </c>
      <c r="D29" s="5" t="inlineStr">
        <is>
          <t>Lagu</t>
        </is>
      </c>
      <c r="E29" s="5" t="inlineStr">
        <is>
          <t>—</t>
        </is>
      </c>
      <c r="F29" s="24" t="inlineStr">
        <is>
          <t>Tinggi: lagu</t>
        </is>
      </c>
      <c r="G29" s="5" t="inlineStr">
        <is>
          <t>Synth orisinal "outro"</t>
        </is>
      </c>
      <c r="H29" s="5" t="inlineStr">
        <is>
          <t>'outro'</t>
        </is>
      </c>
      <c r="I29" s="22" t="inlineStr">
        <is>
          <t>Siap di pipeline</t>
        </is>
      </c>
      <c r="J29" s="5" t="inlineStr">
        <is>
          <t>—</t>
        </is>
      </c>
    </row>
    <row r="30" ht="46" customHeight="1">
      <c r="A30" s="9" t="n">
        <v>26</v>
      </c>
      <c r="B30" s="5" t="inlineStr">
        <is>
          <t>Long brain fart</t>
        </is>
      </c>
      <c r="C30" s="33" t="inlineStr">
        <is>
          <t>https://www.myinstants.com/en/instant/long-brain-fart-60967/</t>
        </is>
      </c>
      <c r="D30" s="5" t="inlineStr">
        <is>
          <t>SFX kentut</t>
        </is>
      </c>
      <c r="E30" s="5" t="inlineStr">
        <is>
          <t>—</t>
        </is>
      </c>
      <c r="F30" s="24" t="inlineStr">
        <is>
          <t>Brand safety</t>
        </is>
      </c>
      <c r="G30" s="5" t="inlineStr">
        <is>
          <t>Hindari</t>
        </is>
      </c>
      <c r="H30" s="5" t="inlineStr">
        <is>
          <t>—</t>
        </is>
      </c>
      <c r="I30" s="5" t="inlineStr">
        <is>
          <t>Hindari</t>
        </is>
      </c>
      <c r="J30" s="5" t="inlineStr">
        <is>
          <t>—</t>
        </is>
      </c>
    </row>
    <row r="31" ht="46" customHeight="1">
      <c r="A31" s="9" t="n">
        <v>27</v>
      </c>
      <c r="B31" s="5" t="inlineStr">
        <is>
          <t>Oh My God Meme</t>
        </is>
      </c>
      <c r="C31" s="33" t="inlineStr">
        <is>
          <t>https://www.myinstants.com/en/instant/oh-my-god-meme-88573/</t>
        </is>
      </c>
      <c r="D31" s="5" t="inlineStr">
        <is>
          <t>Vokal "oh my god"</t>
        </is>
      </c>
      <c r="E31" s="5" t="inlineStr">
        <is>
          <t>Kaget besar</t>
        </is>
      </c>
      <c r="F31" s="24" t="inlineStr">
        <is>
          <t>Tinggi: rekaman orang lain</t>
        </is>
      </c>
      <c r="G31" s="5" t="inlineStr">
        <is>
          <t>Rekam ulang tim: "OH MY GOD" / "YA AMPUN"</t>
        </is>
      </c>
      <c r="H31" s="5" t="inlineStr">
        <is>
          <t>sfx-kustom/omg.wav</t>
        </is>
      </c>
      <c r="I31" s="23" t="inlineStr">
        <is>
          <t>Perlu rekaman tim → motion/sfx-kustom/</t>
        </is>
      </c>
      <c r="J31" s="5" t="inlineStr">
        <is>
          <t>A26</t>
        </is>
      </c>
    </row>
    <row r="32" ht="46" customHeight="1">
      <c r="A32" s="9" t="n">
        <v>28</v>
      </c>
      <c r="B32" s="5" t="inlineStr">
        <is>
          <t>WIDE PUTIN MEME</t>
        </is>
      </c>
      <c r="C32" s="33" t="inlineStr">
        <is>
          <t>https://www.myinstants.com/en/instant/wide-putin-meme-6467/</t>
        </is>
      </c>
      <c r="D32" s="5" t="inlineStr">
        <is>
          <t>Meme tokoh politik</t>
        </is>
      </c>
      <c r="E32" s="5" t="inlineStr">
        <is>
          <t>—</t>
        </is>
      </c>
      <c r="F32" s="24" t="inlineStr">
        <is>
          <t>Tinggi: tokoh politik</t>
        </is>
      </c>
      <c r="G32" s="5" t="inlineStr">
        <is>
          <t>Hindari</t>
        </is>
      </c>
      <c r="H32" s="5" t="inlineStr">
        <is>
          <t>—</t>
        </is>
      </c>
      <c r="I32" s="5" t="inlineStr">
        <is>
          <t>Hindari</t>
        </is>
      </c>
      <c r="J32" s="5" t="inlineStr">
        <is>
          <t>—</t>
        </is>
      </c>
    </row>
    <row r="33" ht="46" customHeight="1">
      <c r="A33" s="9" t="n">
        <v>29</v>
      </c>
      <c r="B33" s="5" t="inlineStr">
        <is>
          <t>Du bist gut genug</t>
        </is>
      </c>
      <c r="C33" s="33" t="inlineStr">
        <is>
          <t>https://www.myinstants.com/en/instant/du-bist-gut-genug-22336/</t>
        </is>
      </c>
      <c r="D33" s="5" t="inlineStr">
        <is>
          <t>Vokal bahasa Jerman</t>
        </is>
      </c>
      <c r="E33" s="5" t="inlineStr">
        <is>
          <t>—</t>
        </is>
      </c>
      <c r="F33" s="23" t="inlineStr">
        <is>
          <t>Sedang</t>
        </is>
      </c>
      <c r="G33" s="5" t="inlineStr">
        <is>
          <t>Tidak relevan</t>
        </is>
      </c>
      <c r="H33" s="5" t="inlineStr">
        <is>
          <t>—</t>
        </is>
      </c>
      <c r="I33" s="5" t="inlineStr">
        <is>
          <t>Hindari</t>
        </is>
      </c>
      <c r="J33" s="5" t="inlineStr">
        <is>
          <t>—</t>
        </is>
      </c>
    </row>
    <row r="34" ht="46" customHeight="1">
      <c r="A34" s="9" t="n">
        <v>30</v>
      </c>
      <c r="B34" s="5" t="inlineStr">
        <is>
          <t>what da dog doin</t>
        </is>
      </c>
      <c r="C34" s="33" t="inlineStr">
        <is>
          <t>https://www.myinstants.com/en/instant/what-da-dog-doin-35890/</t>
        </is>
      </c>
      <c r="D34" s="5" t="inlineStr">
        <is>
          <t>Vokal</t>
        </is>
      </c>
      <c r="E34" s="5" t="inlineStr">
        <is>
          <t>Bingung melihat alur data</t>
        </is>
      </c>
      <c r="F34" s="24" t="inlineStr">
        <is>
          <t>Tinggi</t>
        </is>
      </c>
      <c r="G34" s="5" t="inlineStr">
        <is>
          <t>Rekam ulang tim: "lagi ngapain tuh?"</t>
        </is>
      </c>
      <c r="H34" s="5" t="inlineStr">
        <is>
          <t>sfx-kustom/ngapain.wav</t>
        </is>
      </c>
      <c r="I34" s="23" t="inlineStr">
        <is>
          <t>Perlu rekaman tim → motion/sfx-kustom/</t>
        </is>
      </c>
      <c r="J34" s="5" t="inlineStr">
        <is>
          <t>A34</t>
        </is>
      </c>
    </row>
    <row r="35" ht="46" customHeight="1">
      <c r="A35" s="9" t="n">
        <v>31</v>
      </c>
      <c r="B35" s="5" t="inlineStr">
        <is>
          <t>Meme mp3 (créditos finales)</t>
        </is>
      </c>
      <c r="C35" s="33" t="inlineStr">
        <is>
          <t>https://www.myinstants.com/en/instant/meme-mp3-37545/</t>
        </is>
      </c>
      <c r="D35" s="5" t="inlineStr">
        <is>
          <t>Lagu penutup</t>
        </is>
      </c>
      <c r="E35" s="5" t="inlineStr">
        <is>
          <t>—</t>
        </is>
      </c>
      <c r="F35" s="24" t="inlineStr">
        <is>
          <t>Tinggi</t>
        </is>
      </c>
      <c r="G35" s="5" t="inlineStr">
        <is>
          <t>Synth orisinal "outro"</t>
        </is>
      </c>
      <c r="H35" s="5" t="inlineStr">
        <is>
          <t>'outro'</t>
        </is>
      </c>
      <c r="I35" s="22" t="inlineStr">
        <is>
          <t>Siap di pipeline</t>
        </is>
      </c>
      <c r="J35" s="5" t="inlineStr">
        <is>
          <t>—</t>
        </is>
      </c>
    </row>
    <row r="36" ht="46" customHeight="1">
      <c r="A36" s="9" t="n">
        <v>32</v>
      </c>
      <c r="B36" s="5" t="inlineStr">
        <is>
          <t>Wow Anime meme</t>
        </is>
      </c>
      <c r="C36" s="33" t="inlineStr">
        <is>
          <t>https://www.myinstants.com/en/instant/wow-anime-meme-55752/</t>
        </is>
      </c>
      <c r="D36" s="5" t="inlineStr">
        <is>
          <t>Vokal anime "wow"</t>
        </is>
      </c>
      <c r="E36" s="5" t="inlineStr">
        <is>
          <t>Kagum (fitur keren)</t>
        </is>
      </c>
      <c r="F36" s="24" t="inlineStr">
        <is>
          <t>Tinggi: cuplikan anime</t>
        </is>
      </c>
      <c r="G36" s="5" t="inlineStr">
        <is>
          <t>Rekam ulang tim "WAAAW" atau synth "tada"</t>
        </is>
      </c>
      <c r="H36" s="5" t="inlineStr">
        <is>
          <t>sfx-kustom/wow.wav · 'tada'</t>
        </is>
      </c>
      <c r="I36" s="23" t="inlineStr">
        <is>
          <t>Perlu rekaman tim → motion/sfx-kustom/</t>
        </is>
      </c>
      <c r="J36" s="5" t="inlineStr">
        <is>
          <t>A06, A48</t>
        </is>
      </c>
    </row>
    <row r="37" ht="46" customHeight="1">
      <c r="A37" s="9" t="n">
        <v>33</v>
      </c>
      <c r="B37" s="5" t="inlineStr">
        <is>
          <t>French meme song</t>
        </is>
      </c>
      <c r="C37" s="33" t="inlineStr">
        <is>
          <t>https://www.myinstants.com/en/instant/french-meme-song-55813/</t>
        </is>
      </c>
      <c r="D37" s="5" t="inlineStr">
        <is>
          <t>Lagu</t>
        </is>
      </c>
      <c r="E37" s="5" t="inlineStr">
        <is>
          <t>—</t>
        </is>
      </c>
      <c r="F37" s="24" t="inlineStr">
        <is>
          <t>Tinggi: lagu</t>
        </is>
      </c>
      <c r="G37" s="5" t="inlineStr">
        <is>
          <t>Hindari</t>
        </is>
      </c>
      <c r="H37" s="5" t="inlineStr">
        <is>
          <t>—</t>
        </is>
      </c>
      <c r="I37" s="5" t="inlineStr">
        <is>
          <t>Hindari</t>
        </is>
      </c>
      <c r="J37" s="5" t="inlineStr">
        <is>
          <t>—</t>
        </is>
      </c>
    </row>
    <row r="38" ht="46" customHeight="1">
      <c r="A38" s="9" t="n">
        <v>34</v>
      </c>
      <c r="B38" s="5" t="inlineStr">
        <is>
          <t>Fart Meme Sound (Better and louder)</t>
        </is>
      </c>
      <c r="C38" s="33" t="inlineStr">
        <is>
          <t>https://www.myinstants.com/en/instant/fart-meme-sound-better-and-louder-32265/</t>
        </is>
      </c>
      <c r="D38" s="5" t="inlineStr">
        <is>
          <t>SFX kentut</t>
        </is>
      </c>
      <c r="E38" s="5" t="inlineStr">
        <is>
          <t>—</t>
        </is>
      </c>
      <c r="F38" s="24" t="inlineStr">
        <is>
          <t>Brand safety</t>
        </is>
      </c>
      <c r="G38" s="5" t="inlineStr">
        <is>
          <t>Hindari</t>
        </is>
      </c>
      <c r="H38" s="5" t="inlineStr">
        <is>
          <t>—</t>
        </is>
      </c>
      <c r="I38" s="5" t="inlineStr">
        <is>
          <t>Hindari</t>
        </is>
      </c>
      <c r="J38" s="5" t="inlineStr">
        <is>
          <t>—</t>
        </is>
      </c>
    </row>
    <row r="39" ht="46" customHeight="1">
      <c r="A39" s="9" t="n">
        <v>35</v>
      </c>
      <c r="B39" s="5" t="inlineStr">
        <is>
          <t>'What' Bottom Text Meme</t>
        </is>
      </c>
      <c r="C39" s="33" t="inlineStr">
        <is>
          <t>https://www.myinstants.com/en/instant/what-bottom-text-meme-sanctuary-guardian-s-24591/</t>
        </is>
      </c>
      <c r="D39" s="5" t="inlineStr">
        <is>
          <t>Vokal "what?"</t>
        </is>
      </c>
      <c r="E39" s="5" t="inlineStr">
        <is>
          <t>Bingung</t>
        </is>
      </c>
      <c r="F39" s="24" t="inlineStr">
        <is>
          <t>Tinggi</t>
        </is>
      </c>
      <c r="G39" s="5" t="inlineStr">
        <is>
          <t>Rekam ulang tim "HAH?"</t>
        </is>
      </c>
      <c r="H39" s="5" t="inlineStr">
        <is>
          <t>sfx-kustom/hah.wav</t>
        </is>
      </c>
      <c r="I39" s="23" t="inlineStr">
        <is>
          <t>Perlu rekaman tim → motion/sfx-kustom/</t>
        </is>
      </c>
      <c r="J39" s="5" t="inlineStr">
        <is>
          <t>A11</t>
        </is>
      </c>
    </row>
    <row r="40" ht="46" customHeight="1">
      <c r="A40" s="9" t="n">
        <v>36</v>
      </c>
      <c r="B40" s="5" t="inlineStr">
        <is>
          <t>DEJA VU MEME</t>
        </is>
      </c>
      <c r="C40" s="33" t="inlineStr">
        <is>
          <t>https://www.myinstants.com/en/instant/deja-vu-meme-13405/</t>
        </is>
      </c>
      <c r="D40" s="5" t="inlineStr">
        <is>
          <t>Lagu (eurobeat)</t>
        </is>
      </c>
      <c r="E40" s="5" t="inlineStr">
        <is>
          <t>Revisi yang terulang</t>
        </is>
      </c>
      <c r="F40" s="24" t="inlineStr">
        <is>
          <t>Tinggi: lagu berhak cipta</t>
        </is>
      </c>
      <c r="G40" s="5" t="inlineStr">
        <is>
          <t>Synth orisinal "eurobeat" (sting cepat)</t>
        </is>
      </c>
      <c r="H40" s="5" t="inlineStr">
        <is>
          <t>'eurobeat'</t>
        </is>
      </c>
      <c r="I40" s="22" t="inlineStr">
        <is>
          <t>Siap di pipeline</t>
        </is>
      </c>
      <c r="J40" s="5" t="inlineStr">
        <is>
          <t>A14, A41</t>
        </is>
      </c>
    </row>
    <row r="42">
      <c r="A42" s="8" t="inlineStr">
        <is>
          <t>Cara rekam suara meme versi tim</t>
        </is>
      </c>
    </row>
    <row r="43" ht="30" customHeight="1">
      <c r="A43" s="2" t="inlineStr">
        <is>
          <t>1. Rekam di ruangan senyap, jarak mulut ± 20 cm, 3 take tiap suara (lebay, sedang, singkat). Simpan .wav/.m4a ke motion/sfx-kustom/ (mis. faah.wav).</t>
        </is>
      </c>
    </row>
    <row r="44" ht="30" customHeight="1">
      <c r="A44" s="2" t="inlineStr">
        <is>
          <t>2. Panggil di scenes.js: ['w:kata', 'file:faah', 0.8]. Suara otomatis masuk mix &amp; diseimbangkan dengan VO.</t>
        </is>
      </c>
    </row>
    <row r="45" ht="30" customHeight="1">
      <c r="A45" s="2" t="inlineStr">
        <is>
          <t>3. Jangan meniru logat/etnis atau persona orang tertentu; cukup ekspresinya (kaget, frustrasi, panik).</t>
        </is>
      </c>
    </row>
    <row r="46" ht="30" customHeight="1">
      <c r="A46" s="2" t="inlineStr">
        <is>
          <t>4. Alternatif tanpa rekaman: ElevenLabs v3 dengan tag emosi, mis. "[shouts] FAAAH!" (paket berbayar = lisensi komersial).</t>
        </is>
      </c>
    </row>
    <row r="48">
      <c r="A48" s="34" t="inlineStr">
        <is>
          <t>Dengar semua SFX synth: motion/out/_demo/demo-sfx-meme.mp3</t>
        </is>
      </c>
    </row>
  </sheetData>
  <mergeCells count="5">
    <mergeCell ref="A44:J44"/>
    <mergeCell ref="A45:J45"/>
    <mergeCell ref="A46:J46"/>
    <mergeCell ref="A43:J43"/>
    <mergeCell ref="A2:J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8" customWidth="1" min="4" max="4"/>
    <col width="40" customWidth="1" min="5" max="5"/>
    <col width="26" customWidth="1" min="6" max="6"/>
  </cols>
  <sheetData>
    <row r="1">
      <c r="A1" s="10" t="inlineStr">
        <is>
          <t>Efek VO (voice effect)</t>
        </is>
      </c>
    </row>
    <row r="2" ht="46" customHeight="1">
      <c r="A2" s="2" t="inlineStr">
        <is>
          <t>Tersedia di pipeline: tulis voFx per scene di scenes.js, mis. { id: 's5', voFx: 'berat', ... }. Berlaku untuk TTS maupun VN tim. Dengar semua efek: motion/out/_demo/demo-efek-vo.mp3.</t>
        </is>
      </c>
    </row>
    <row r="4" ht="34" customHeight="1">
      <c r="A4" s="3" t="inlineStr">
        <is>
          <t>Preset (voFx)</t>
        </is>
      </c>
      <c r="B4" s="3" t="inlineStr">
        <is>
          <t>Kesan</t>
        </is>
      </c>
      <c r="C4" s="3" t="inlineStr">
        <is>
          <t>Kapan dipakai</t>
        </is>
      </c>
      <c r="D4" s="3" t="inlineStr">
        <is>
          <t>Contoh konsep</t>
        </is>
      </c>
      <c r="E4" s="3" t="inlineStr">
        <is>
          <t>Resep teknis (ffmpeg)</t>
        </is>
      </c>
      <c r="F4" s="3" t="inlineStr">
        <is>
          <t>Aman untuk sinkron kata?</t>
        </is>
      </c>
    </row>
    <row r="5" ht="34" customHeight="1">
      <c r="A5" s="14" t="inlineStr">
        <is>
          <t>berat</t>
        </is>
      </c>
      <c r="B5" s="5" t="inlineStr">
        <is>
          <t>Suara berat &amp; gelap (narator "sigma", trailer)</t>
        </is>
      </c>
      <c r="C5" s="5" t="inlineStr">
        <is>
          <t>Narator Things to Say, fakta menakutkan, suara Pak Bos</t>
        </is>
      </c>
      <c r="D5" s="5" t="inlineStr">
        <is>
          <t>A03, A08, A18, A39</t>
        </is>
      </c>
      <c r="E5" s="5" t="inlineStr">
        <is>
          <t>rubberband=pitch=0.78, bass +5 dB, kompresor</t>
        </is>
      </c>
      <c r="F5" s="5" t="inlineStr">
        <is>
          <t>Ya</t>
        </is>
      </c>
    </row>
    <row r="6" ht="34" customHeight="1">
      <c r="A6" s="14" t="inlineStr">
        <is>
          <t>tupai</t>
        </is>
      </c>
      <c r="B6" s="5" t="inlineStr">
        <is>
          <t>Suara tinggi lucu (chipmunk)</t>
        </is>
      </c>
      <c r="C6" s="5" t="inlineStr">
        <is>
          <t>Reaksi "HAH?", suara batin panik, versi "anak magang"</t>
        </is>
      </c>
      <c r="D6" s="5" t="inlineStr">
        <is>
          <t>A11, A28</t>
        </is>
      </c>
      <c r="E6" s="5" t="inlineStr">
        <is>
          <t>rubberband=pitch=1.55</t>
        </is>
      </c>
      <c r="F6" s="5" t="inlineStr">
        <is>
          <t>Ya</t>
        </is>
      </c>
    </row>
    <row r="7" ht="34" customHeight="1">
      <c r="A7" s="14" t="inlineStr">
        <is>
          <t>telepon</t>
        </is>
      </c>
      <c r="B7" s="5" t="inlineStr">
        <is>
          <t>Seperti telepon / voice note</t>
        </is>
      </c>
      <c r="C7" s="5" t="inlineStr">
        <is>
          <t>Pesan dari bos, pelanggan, pesan suara di grup</t>
        </is>
      </c>
      <c r="D7" s="5" t="inlineStr">
        <is>
          <t>A17, A41</t>
        </is>
      </c>
      <c r="E7" s="5" t="inlineStr">
        <is>
          <t>highpass 450 Hz + lowpass 3.000 Hz + kompresi</t>
        </is>
      </c>
      <c r="F7" s="5" t="inlineStr">
        <is>
          <t>Ya</t>
        </is>
      </c>
    </row>
    <row r="8" ht="34" customHeight="1">
      <c r="A8" s="14" t="inlineStr">
        <is>
          <t>toa</t>
        </is>
      </c>
      <c r="B8" s="5" t="inlineStr">
        <is>
          <t>Pengumuman lewat toa/megafon</t>
        </is>
      </c>
      <c r="C8" s="5" t="inlineStr">
        <is>
          <t>Pengumuman kantor, "PERHATIAN SEMUA DIVISI…"</t>
        </is>
      </c>
      <c r="D8" s="5" t="inlineStr">
        <is>
          <t>A09, A21</t>
        </is>
      </c>
      <c r="E8" s="5" t="inlineStr">
        <is>
          <t>band 700–3.500 Hz + distorsi ringan + gema pendek</t>
        </is>
      </c>
      <c r="F8" s="5" t="inlineStr">
        <is>
          <t>Ya</t>
        </is>
      </c>
    </row>
    <row r="9" ht="34" customHeight="1">
      <c r="A9" s="14" t="inlineStr">
        <is>
          <t>robot</t>
        </is>
      </c>
      <c r="B9" s="5" t="inlineStr">
        <is>
          <t>Suara mesin/robot</t>
        </is>
      </c>
      <c r="C9" s="5" t="inlineStr">
        <is>
          <t>Suara "sistem", notifikasi otomatis, bot</t>
        </is>
      </c>
      <c r="D9" s="5" t="inlineStr">
        <is>
          <t>A29, A35</t>
        </is>
      </c>
      <c r="E9" s="5" t="inlineStr">
        <is>
          <t>afftfilt robotize (fase dinolkan) + gema</t>
        </is>
      </c>
      <c r="F9" s="5" t="inlineStr">
        <is>
          <t>Ya</t>
        </is>
      </c>
    </row>
    <row r="10" ht="34" customHeight="1">
      <c r="A10" s="14" t="inlineStr">
        <is>
          <t>gema</t>
        </is>
      </c>
      <c r="B10" s="5" t="inlineStr">
        <is>
          <t>Gema dramatis</t>
        </is>
      </c>
      <c r="C10" s="5" t="inlineStr">
        <is>
          <t>Kalimat kunci, penutup, momen "plot twist"</t>
        </is>
      </c>
      <c r="D10" s="5" t="inlineStr">
        <is>
          <t>A39, A42</t>
        </is>
      </c>
      <c r="E10" s="5" t="inlineStr">
        <is>
          <t>aecho 180/360 ms</t>
        </is>
      </c>
      <c r="F10" s="5" t="inlineStr">
        <is>
          <t>Ya</t>
        </is>
      </c>
    </row>
    <row r="11" ht="34" customHeight="1">
      <c r="A11" s="14" t="inlineStr">
        <is>
          <t>aula</t>
        </is>
      </c>
      <c r="B11" s="5" t="inlineStr">
        <is>
          <t>Ruangan besar/aula</t>
        </is>
      </c>
      <c r="C11" s="5" t="inlineStr">
        <is>
          <t>Pidato direksi, momen megah</t>
        </is>
      </c>
      <c r="D11" s="5" t="inlineStr">
        <is>
          <t>A18, A26</t>
        </is>
      </c>
      <c r="E11" s="5" t="inlineStr">
        <is>
          <t>aecho multi-tap 60/120/240 ms</t>
        </is>
      </c>
      <c r="F11" s="5" t="inlineStr">
        <is>
          <t>Ya</t>
        </is>
      </c>
    </row>
    <row r="12" ht="34" customHeight="1">
      <c r="A12" s="14" t="inlineStr">
        <is>
          <t>bisik</t>
        </is>
      </c>
      <c r="B12" s="5" t="inlineStr">
        <is>
          <t>Bisikan (ASMR)</t>
        </is>
      </c>
      <c r="C12" s="5" t="inlineStr">
        <is>
          <t>GRWM, rahasia, "psst…"</t>
        </is>
      </c>
      <c r="D12" s="5" t="inlineStr">
        <is>
          <t>A20</t>
        </is>
      </c>
      <c r="E12" s="5" t="inlineStr">
        <is>
          <t>afftfilt whisperize (fase acak) + highpass</t>
        </is>
      </c>
      <c r="F12" s="5" t="inlineStr">
        <is>
          <t>Ya</t>
        </is>
      </c>
    </row>
    <row r="13" ht="34" customHeight="1">
      <c r="A13" s="14" t="inlineStr">
        <is>
          <t>lebay</t>
        </is>
      </c>
      <c r="B13" s="5" t="inlineStr">
        <is>
          <t>Bass boosted/pecah ala meme (versi aman telinga)</t>
        </is>
      </c>
      <c r="C13" s="5" t="inlineStr">
        <is>
          <t>Punchline super lebay (jarang-jarang!)</t>
        </is>
      </c>
      <c r="D13" s="5" t="inlineStr">
        <is>
          <t>A19, A43</t>
        </is>
      </c>
      <c r="E13" s="5" t="inlineStr">
        <is>
          <t>bass +12 dB + acrusher + limiter</t>
        </is>
      </c>
      <c r="F13" s="5" t="inlineStr">
        <is>
          <t>Ya</t>
        </is>
      </c>
    </row>
    <row r="14" ht="34" customHeight="1">
      <c r="A14" s="14" t="inlineStr">
        <is>
          <t>nangis</t>
        </is>
      </c>
      <c r="B14" s="5" t="inlineStr">
        <is>
          <t>Suara bergetar mau nangis</t>
        </is>
      </c>
      <c r="C14" s="5" t="inlineStr">
        <is>
          <t>Momen sedih-lebay (form tak diisi)</t>
        </is>
      </c>
      <c r="D14" s="5" t="inlineStr">
        <is>
          <t>A14, A41</t>
        </is>
      </c>
      <c r="E14" s="5" t="inlineStr">
        <is>
          <t>vibrato 7 Hz</t>
        </is>
      </c>
      <c r="F14" s="5" t="inlineStr">
        <is>
          <t>Ya</t>
        </is>
      </c>
    </row>
    <row r="15" ht="34" customHeight="1">
      <c r="A15" s="14" t="inlineStr">
        <is>
          <t>slowed</t>
        </is>
      </c>
      <c r="B15" s="5" t="inlineStr">
        <is>
          <t>Slowed + reverb (tren editan)</t>
        </is>
      </c>
      <c r="C15" s="5" t="inlineStr">
        <is>
          <t>Transisi dramatis, pembuka</t>
        </is>
      </c>
      <c r="D15" s="5" t="inlineStr">
        <is>
          <t>—</t>
        </is>
      </c>
      <c r="E15" s="5" t="inlineStr">
        <is>
          <t>asetrate 0,85 + gema</t>
        </is>
      </c>
      <c r="F15" s="5" t="inlineStr">
        <is>
          <t>Tidak (mengubah tempo; khusus potongan tanpa sinkron kata)</t>
        </is>
      </c>
    </row>
  </sheetData>
  <mergeCells count="1"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20" customWidth="1" min="5" max="5"/>
    <col width="30" customWidth="1" min="6" max="6"/>
    <col width="28" customWidth="1" min="7" max="7"/>
    <col width="40" customWidth="1" min="8" max="8"/>
    <col width="30" customWidth="1" min="9" max="9"/>
  </cols>
  <sheetData>
    <row r="1">
      <c r="A1" s="10" t="inlineStr">
        <is>
          <t>Opsi suara (TTS) yang lebih "Indonesia banget"</t>
        </is>
      </c>
    </row>
    <row r="2" ht="46" customHeight="1">
      <c r="A2" s="2" t="inlineStr">
        <is>
          <t>Cara tercepat tanpa integrasi: buat audio di situs penyedia (mis. ElevenLabs), unduh per bagian, beri nama &lt;KODE&gt;_S1.mp3 dst., taruh di motion/vn/, lalu jalankan node build.js &lt;folder&gt;. Pipeline menyelaraskan otomatis seperti VN tim. Integrasi API penuh (otomatis &amp; sinkron per kata) bisa ditambahkan setelah ada API key.</t>
        </is>
      </c>
    </row>
    <row r="4" ht="34" customHeight="1">
      <c r="A4" s="3" t="inlineStr">
        <is>
          <t>Layanan</t>
        </is>
      </c>
      <c r="B4" s="3" t="inlineStr">
        <is>
          <t>Logat Indonesia</t>
        </is>
      </c>
      <c r="C4" s="3" t="inlineStr">
        <is>
          <t>Ekspresi / emosi</t>
        </is>
      </c>
      <c r="D4" s="3" t="inlineStr">
        <is>
          <t>Timing kata (sinkron animasi)</t>
        </is>
      </c>
      <c r="E4" s="3" t="inlineStr">
        <is>
          <t>Lisensi komersial</t>
        </is>
      </c>
      <c r="F4" s="3" t="inlineStr">
        <is>
          <t>Kisaran biaya</t>
        </is>
      </c>
      <c r="G4" s="3" t="inlineStr">
        <is>
          <t>Yang dibutuhkan</t>
        </is>
      </c>
      <c r="H4" s="3" t="inlineStr">
        <is>
          <t>Catatan / rekomendasi</t>
        </is>
      </c>
      <c r="I4" s="3" t="inlineStr">
        <is>
          <t>Sumber</t>
        </is>
      </c>
    </row>
    <row r="5" ht="64" customHeight="1">
      <c r="A5" s="14" t="inlineStr">
        <is>
          <t>edge-tts (dipakai sekarang)</t>
        </is>
      </c>
      <c r="B5" s="5" t="inlineStr">
        <is>
          <t>Ardi &amp; Gadis: baku, agak kaku</t>
        </is>
      </c>
      <c r="C5" s="5" t="inlineStr">
        <is>
          <t>Terbatas</t>
        </is>
      </c>
      <c r="D5" s="5" t="inlineStr">
        <is>
          <t>Ya (timing per kata)</t>
        </is>
      </c>
      <c r="E5" s="5" t="inlineStr">
        <is>
          <t>TIDAK untuk iklan komersial (layanan Read Aloud Edge)</t>
        </is>
      </c>
      <c r="F5" s="5" t="inlineStr">
        <is>
          <t>Gratis</t>
        </is>
      </c>
      <c r="G5" s="5" t="inlineStr">
        <is>
          <t>Tidak ada</t>
        </is>
      </c>
      <c r="H5" s="5" t="inlineStr">
        <is>
          <t>Hanya placeholder untuk draf &amp; timing.</t>
        </is>
      </c>
      <c r="I5" s="5" t="inlineStr"/>
    </row>
    <row r="6" ht="64" customHeight="1">
      <c r="A6" s="14" t="inlineStr">
        <is>
          <t>Azure AI Speech</t>
        </is>
      </c>
      <c r="B6" s="5" t="inlineStr">
        <is>
          <t>Suara sama (Ardi/Gadis), resmi</t>
        </is>
      </c>
      <c r="C6" s="5" t="inlineStr">
        <is>
          <t>Terbatas untuk id-ID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Bayar per karakter</t>
        </is>
      </c>
      <c r="G6" s="5" t="inlineStr">
        <is>
          <t>Akun Azure + kunci API (diisi sendiri)</t>
        </is>
      </c>
      <c r="H6" s="5" t="inlineStr">
        <is>
          <t>Pengganti resmi tercepat bila suka suara sekarang.</t>
        </is>
      </c>
      <c r="I6" s="5" t="inlineStr"/>
    </row>
    <row r="7" ht="64" customHeight="1">
      <c r="A7" s="35" t="inlineStr">
        <is>
          <t>ElevenLabs (Eleven v3 / Multilingual v2)</t>
        </is>
      </c>
      <c r="B7" s="22" t="inlineStr">
        <is>
          <t>Sangat natural; ada suara lokal (Andi, Bian, Dakocan, Putri Maharani, Ahmad, dll.)</t>
        </is>
      </c>
      <c r="C7" s="22" t="inlineStr">
        <is>
          <t>Sangat ekspresif; tag [whispers] [laughs] [sarcastically] [shouts]</t>
        </is>
      </c>
      <c r="D7" s="22" t="inlineStr">
        <is>
          <t>Ya: endpoint with-timestamps (per karakter) → langsung sinkron</t>
        </is>
      </c>
      <c r="E7" s="22" t="inlineStr">
        <is>
          <t>Ya, mulai paket Starter</t>
        </is>
      </c>
      <c r="F7" s="22" t="inlineStr">
        <is>
          <t>Starter ± US$6/bln (30 rb kredit); Creator US$22/bln (121 rb) (cek harga terbaru)</t>
        </is>
      </c>
      <c r="G7" s="22" t="inlineStr">
        <is>
          <t>Akun + API key (disetel sendiri sebagai env var, bukan dikirim ke saya)</t>
        </is>
      </c>
      <c r="H7" s="22" t="inlineStr">
        <is>
          <t>REKOMENDASI UTAMA untuk video meme (bisa teriak "FAAAH", bisik, sarkas). 11 video ± 10 rb karakter/bulan.</t>
        </is>
      </c>
      <c r="I7" s="36" t="inlineStr">
        <is>
          <t>https://elevenlabs.io/pricing</t>
        </is>
      </c>
    </row>
    <row r="8" ht="64" customHeight="1">
      <c r="A8" s="14" t="inlineStr">
        <is>
          <t>Google Cloud TTS: Chirp 3 HD (id-ID)</t>
        </is>
      </c>
      <c r="B8" s="5" t="inlineStr">
        <is>
          <t>Natural, gaya percakapan</t>
        </is>
      </c>
      <c r="C8" s="5" t="inlineStr">
        <is>
          <t>Sedang</t>
        </is>
      </c>
      <c r="D8" s="5" t="inlineStr">
        <is>
          <t>Perlu dicek; kalau tidak ada, audio diselaraskan otomatis seperti VN</t>
        </is>
      </c>
      <c r="E8" s="5" t="inlineStr">
        <is>
          <t>Ya</t>
        </is>
      </c>
      <c r="F8" s="5" t="inlineStr">
        <is>
          <t>Bayar per karakter</t>
        </is>
      </c>
      <c r="G8" s="5" t="inlineStr">
        <is>
          <t>Akun GCP + kunci</t>
        </is>
      </c>
      <c r="H8" s="5" t="inlineStr">
        <is>
          <t>Alternatif kuat, stabil untuk volume besar.</t>
        </is>
      </c>
      <c r="I8" s="33" t="inlineStr">
        <is>
          <t>https://docs.cloud.google.com/text-to-speech/docs/chirp3-hd</t>
        </is>
      </c>
    </row>
    <row r="9" ht="64" customHeight="1">
      <c r="A9" s="14" t="inlineStr">
        <is>
          <t>Prosa.ai (lokal Indonesia)</t>
        </is>
      </c>
      <c r="B9" s="5" t="inlineStr">
        <is>
          <t>Sangat Indonesia (Dimas formal/ekspresif, Ocha ramah)</t>
        </is>
      </c>
      <c r="C9" s="5" t="inlineStr">
        <is>
          <t>Sedang</t>
        </is>
      </c>
      <c r="D9" s="5" t="inlineStr">
        <is>
          <t>Perlu dicek; bisa diselaraskan otomatis seperti VN</t>
        </is>
      </c>
      <c r="E9" s="5" t="inlineStr">
        <is>
          <t>Cek ketentuan paket</t>
        </is>
      </c>
      <c r="F9" s="5" t="inlineStr">
        <is>
          <t>Lite Rp50 rb/35 rb karakter; Rp150 rb/100 rb; Pro Rp450 rb/500 rb per bulan (per berita; cek terbaru)</t>
        </is>
      </c>
      <c r="G9" s="5" t="inlineStr">
        <is>
          <t>Akun Prosa</t>
        </is>
      </c>
      <c r="H9" s="5" t="inlineStr">
        <is>
          <t>Pilihan lokal, logat paling "Indonesia".</t>
        </is>
      </c>
      <c r="I9" s="33" t="inlineStr">
        <is>
          <t>https://gizmologi.id/aplikasi/prosa-ai-hadirkan-pembaruan-text-to-speech/</t>
        </is>
      </c>
    </row>
    <row r="10" ht="64" customHeight="1">
      <c r="A10" s="14" t="inlineStr">
        <is>
          <t>Rekaman tim (VN)</t>
        </is>
      </c>
      <c r="B10" s="5" t="inlineStr">
        <is>
          <t>Paling otentik</t>
        </is>
      </c>
      <c r="C10" s="5" t="inlineStr">
        <is>
          <t>Sesuai pengisi suara</t>
        </is>
      </c>
      <c r="D10" s="5" t="inlineStr">
        <is>
          <t>Ya: diselaraskan otomatis (vn/)</t>
        </is>
      </c>
      <c r="E10" s="5" t="inlineStr">
        <is>
          <t>Ya (milik sendiri)</t>
        </is>
      </c>
      <c r="F10" s="5" t="inlineStr">
        <is>
          <t>Gratis</t>
        </is>
      </c>
      <c r="G10" s="5" t="inlineStr">
        <is>
          <t>HP + ruangan senyap</t>
        </is>
      </c>
      <c r="H10" s="5" t="inlineStr">
        <is>
          <t>Terbaik untuk suara meme (FAAAH, HAH?) &amp; karakter.</t>
        </is>
      </c>
      <c r="I10" s="5" t="inlineStr"/>
    </row>
  </sheetData>
  <mergeCells count="1">
    <mergeCell ref="A2:I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0" customWidth="1" min="4" max="4"/>
    <col width="40" customWidth="1" min="5" max="5"/>
    <col width="30" customWidth="1" min="6" max="6"/>
    <col width="28" customWidth="1" min="7" max="7"/>
  </cols>
  <sheetData>
    <row r="1">
      <c r="A1" s="10" t="inlineStr">
        <is>
          <t>Kalender tayang: Oktober 2026 → PP 33 berlaku (16 Januari 2027)</t>
        </is>
      </c>
    </row>
    <row r="2" ht="46" customHeight="1">
      <c r="A2" s="2" t="inlineStr">
        <is>
          <t>Video modul (M) + unggulan dijadwalkan berdampingan dengan konten meme (A) dan video pendek (P).</t>
        </is>
      </c>
    </row>
    <row r="4" ht="34" customHeight="1">
      <c r="A4" s="3" t="inlineStr">
        <is>
          <t>Minggu</t>
        </is>
      </c>
      <c r="B4" s="3" t="inlineStr">
        <is>
          <t>Tanggal</t>
        </is>
      </c>
      <c r="C4" s="3" t="inlineStr">
        <is>
          <t>Fase</t>
        </is>
      </c>
      <c r="D4" s="3" t="inlineStr">
        <is>
          <t>Momentum</t>
        </is>
      </c>
      <c r="E4" s="3" t="inlineStr">
        <is>
          <t>Video modul / unggulan</t>
        </is>
      </c>
      <c r="F4" s="3" t="inlineStr">
        <is>
          <t>Konten organik (meme &amp; pendek)</t>
        </is>
      </c>
      <c r="G4" s="3" t="inlineStr">
        <is>
          <t>Konten berbayar (konversi)</t>
        </is>
      </c>
    </row>
    <row r="5" ht="34" customHeight="1">
      <c r="A5" s="9" t="inlineStr">
        <is>
          <t>M1</t>
        </is>
      </c>
      <c r="B5" s="5" t="inlineStr">
        <is>
          <t>5 Oct – 11 Oct 2026</t>
        </is>
      </c>
      <c r="C5" s="5" t="inlineStr">
        <is>
          <t>Awareness</t>
        </is>
      </c>
      <c r="D5" s="5" t="inlineStr">
        <is>
          <t>Musim anggaran 2027 dimulai</t>
        </is>
      </c>
      <c r="E5" s="5" t="inlineStr">
        <is>
          <t>Unggulan 3 menit (YouTube/LinkedIn) + versi 60 dtk (Reels) · M02</t>
        </is>
      </c>
      <c r="F5" s="5" t="inlineStr">
        <is>
          <t>A04, A12, A43</t>
        </is>
      </c>
      <c r="G5" s="5" t="inlineStr">
        <is>
          <t>A27</t>
        </is>
      </c>
    </row>
    <row r="6" ht="34" customHeight="1">
      <c r="A6" s="9" t="inlineStr">
        <is>
          <t>M2</t>
        </is>
      </c>
      <c r="B6" s="5" t="inlineStr">
        <is>
          <t>12 Oct – 18 Oct 2026</t>
        </is>
      </c>
      <c r="C6" s="5" t="inlineStr">
        <is>
          <t>Awareness</t>
        </is>
      </c>
      <c r="D6" s="5" t="inlineStr">
        <is>
          <t>—</t>
        </is>
      </c>
      <c r="E6" s="5" t="inlineStr">
        <is>
          <t>M04 · M07</t>
        </is>
      </c>
      <c r="F6" s="5" t="inlineStr">
        <is>
          <t>A02, A17, A18</t>
        </is>
      </c>
      <c r="G6" s="5" t="inlineStr">
        <is>
          <t>A30</t>
        </is>
      </c>
    </row>
    <row r="7" ht="34" customHeight="1">
      <c r="A7" s="9" t="inlineStr">
        <is>
          <t>M3</t>
        </is>
      </c>
      <c r="B7" s="5" t="inlineStr">
        <is>
          <t>19 Oct – 25 Oct 2026</t>
        </is>
      </c>
      <c r="C7" s="5" t="inlineStr">
        <is>
          <t>Awareness</t>
        </is>
      </c>
      <c r="D7" s="5" t="inlineStr">
        <is>
          <t>—</t>
        </is>
      </c>
      <c r="E7" s="5" t="inlineStr">
        <is>
          <t>M08 · M11</t>
        </is>
      </c>
      <c r="F7" s="5" t="inlineStr">
        <is>
          <t>A01, A21, A45</t>
        </is>
      </c>
      <c r="G7" s="5" t="inlineStr">
        <is>
          <t>A36</t>
        </is>
      </c>
    </row>
    <row r="8" ht="34" customHeight="1">
      <c r="A8" s="9" t="inlineStr">
        <is>
          <t>M4</t>
        </is>
      </c>
      <c r="B8" s="5" t="inlineStr">
        <is>
          <t>26 Oct – 1 Nov 2026</t>
        </is>
      </c>
      <c r="C8" s="5" t="inlineStr">
        <is>
          <t>Awareness → Pertimbangan</t>
        </is>
      </c>
      <c r="D8" s="5" t="inlineStr">
        <is>
          <t>—</t>
        </is>
      </c>
      <c r="E8" s="5" t="inlineStr">
        <is>
          <t>M05 · M13</t>
        </is>
      </c>
      <c r="F8" s="5" t="inlineStr">
        <is>
          <t>A03, A06, A16</t>
        </is>
      </c>
      <c r="G8" s="5" t="inlineStr">
        <is>
          <t>A35</t>
        </is>
      </c>
    </row>
    <row r="9" ht="34" customHeight="1">
      <c r="A9" s="9" t="inlineStr">
        <is>
          <t>M5</t>
        </is>
      </c>
      <c r="B9" s="5" t="inlineStr">
        <is>
          <t>2 Nov – 8 Nov 2026</t>
        </is>
      </c>
      <c r="C9" s="5" t="inlineStr">
        <is>
          <t>Pertimbangan</t>
        </is>
      </c>
      <c r="D9" s="5" t="inlineStr">
        <is>
          <t>Anggaran difinalkan</t>
        </is>
      </c>
      <c r="E9" s="5" t="inlineStr">
        <is>
          <t>M14 · M15</t>
        </is>
      </c>
      <c r="F9" s="5" t="inlineStr">
        <is>
          <t>A14, A19, A41</t>
        </is>
      </c>
      <c r="G9" s="5" t="inlineStr">
        <is>
          <t>A08, A27</t>
        </is>
      </c>
    </row>
    <row r="10" ht="34" customHeight="1">
      <c r="A10" s="9" t="inlineStr">
        <is>
          <t>M6</t>
        </is>
      </c>
      <c r="B10" s="5" t="inlineStr">
        <is>
          <t>9 Nov – 15 Nov 2026</t>
        </is>
      </c>
      <c r="C10" s="5" t="inlineStr">
        <is>
          <t>Pertimbangan</t>
        </is>
      </c>
      <c r="D10" s="5" t="inlineStr">
        <is>
          <t>11.11</t>
        </is>
      </c>
      <c r="E10" s="5" t="inlineStr">
        <is>
          <t>M16 · M17</t>
        </is>
      </c>
      <c r="F10" s="5" t="inlineStr">
        <is>
          <t>A09, A44</t>
        </is>
      </c>
      <c r="G10" s="5" t="inlineStr">
        <is>
          <t>A15</t>
        </is>
      </c>
    </row>
    <row r="11" ht="34" customHeight="1">
      <c r="A11" s="9" t="inlineStr">
        <is>
          <t>M7</t>
        </is>
      </c>
      <c r="B11" s="5" t="inlineStr">
        <is>
          <t>16 Nov – 22 Nov 2026</t>
        </is>
      </c>
      <c r="C11" s="5" t="inlineStr">
        <is>
          <t>Pertimbangan</t>
        </is>
      </c>
      <c r="D11" s="5" t="inlineStr">
        <is>
          <t>—</t>
        </is>
      </c>
      <c r="E11" s="5" t="inlineStr">
        <is>
          <t>M12 · M19</t>
        </is>
      </c>
      <c r="F11" s="5" t="inlineStr">
        <is>
          <t>A05, A11, A28</t>
        </is>
      </c>
      <c r="G11" s="5" t="inlineStr">
        <is>
          <t>A26, A46</t>
        </is>
      </c>
    </row>
    <row r="12" ht="34" customHeight="1">
      <c r="A12" s="9" t="inlineStr">
        <is>
          <t>M8</t>
        </is>
      </c>
      <c r="B12" s="5" t="inlineStr">
        <is>
          <t>23 Nov – 29 Nov 2026</t>
        </is>
      </c>
      <c r="C12" s="5" t="inlineStr">
        <is>
          <t>Pertimbangan → Konversi</t>
        </is>
      </c>
      <c r="D12" s="5" t="inlineStr">
        <is>
          <t>Menjelang 12.12</t>
        </is>
      </c>
      <c r="E12" s="5" t="inlineStr">
        <is>
          <t>M09 · M10</t>
        </is>
      </c>
      <c r="F12" s="5" t="inlineStr">
        <is>
          <t>A25, A07</t>
        </is>
      </c>
      <c r="G12" s="5" t="inlineStr">
        <is>
          <t>A31, A33</t>
        </is>
      </c>
    </row>
    <row r="13" ht="34" customHeight="1">
      <c r="A13" s="9" t="inlineStr">
        <is>
          <t>M9</t>
        </is>
      </c>
      <c r="B13" s="5" t="inlineStr">
        <is>
          <t>30 Nov – 6 Dec 2026</t>
        </is>
      </c>
      <c r="C13" s="5" t="inlineStr">
        <is>
          <t>Konversi</t>
        </is>
      </c>
      <c r="D13" s="5" t="inlineStr">
        <is>
          <t>3 Des: Hari Disabilitas Internasional</t>
        </is>
      </c>
      <c r="E13" s="5" t="inlineStr">
        <is>
          <t>M01 · M03 (3 Des: repost M10)</t>
        </is>
      </c>
      <c r="F13" s="5" t="inlineStr">
        <is>
          <t>A32, A22</t>
        </is>
      </c>
      <c r="G13" s="5" t="inlineStr">
        <is>
          <t>A37</t>
        </is>
      </c>
    </row>
    <row r="14" ht="34" customHeight="1">
      <c r="A14" s="9" t="inlineStr">
        <is>
          <t>M10</t>
        </is>
      </c>
      <c r="B14" s="5" t="inlineStr">
        <is>
          <t>7 Dec – 13 Dec 2026</t>
        </is>
      </c>
      <c r="C14" s="5" t="inlineStr">
        <is>
          <t>Konversi</t>
        </is>
      </c>
      <c r="D14" s="5" t="inlineStr">
        <is>
          <t>12.12</t>
        </is>
      </c>
      <c r="E14" s="5" t="inlineStr">
        <is>
          <t>M20 · M21</t>
        </is>
      </c>
      <c r="F14" s="5" t="inlineStr">
        <is>
          <t>A22, A25</t>
        </is>
      </c>
      <c r="G14" s="5" t="inlineStr">
        <is>
          <t>A47 (live)</t>
        </is>
      </c>
    </row>
    <row r="15" ht="34" customHeight="1">
      <c r="A15" s="9" t="inlineStr">
        <is>
          <t>M11</t>
        </is>
      </c>
      <c r="B15" s="5" t="inlineStr">
        <is>
          <t>14 Dec – 20 Dec 2026</t>
        </is>
      </c>
      <c r="C15" s="5" t="inlineStr">
        <is>
          <t>Konversi</t>
        </is>
      </c>
      <c r="D15" s="5" t="inlineStr">
        <is>
          <t>—</t>
        </is>
      </c>
      <c r="E15" s="5" t="inlineStr">
        <is>
          <t>M18 · M22</t>
        </is>
      </c>
      <c r="F15" s="5" t="inlineStr">
        <is>
          <t>A13, A39</t>
        </is>
      </c>
      <c r="G15" s="5" t="inlineStr">
        <is>
          <t>A23 (mulai hitung mundur)</t>
        </is>
      </c>
    </row>
    <row r="16" ht="34" customHeight="1">
      <c r="A16" s="9" t="inlineStr">
        <is>
          <t>M12</t>
        </is>
      </c>
      <c r="B16" s="5" t="inlineStr">
        <is>
          <t>21 Dec – 27 Dec 2026</t>
        </is>
      </c>
      <c r="C16" s="5" t="inlineStr">
        <is>
          <t>Konversi</t>
        </is>
      </c>
      <c r="D16" s="5" t="inlineStr">
        <is>
          <t>Natal</t>
        </is>
      </c>
      <c r="E16" s="5" t="inlineStr">
        <is>
          <t>M06 · unggulan versi 30 dtk</t>
        </is>
      </c>
      <c r="F16" s="5" t="inlineStr">
        <is>
          <t>A10, A34</t>
        </is>
      </c>
      <c r="G16" s="5" t="inlineStr">
        <is>
          <t>A23</t>
        </is>
      </c>
    </row>
    <row r="17" ht="34" customHeight="1">
      <c r="A17" s="9" t="inlineStr">
        <is>
          <t>M13</t>
        </is>
      </c>
      <c r="B17" s="5" t="inlineStr">
        <is>
          <t>28 Dec – 3 Jan 2027</t>
        </is>
      </c>
      <c r="C17" s="5" t="inlineStr">
        <is>
          <t>Konversi</t>
        </is>
      </c>
      <c r="D17" s="5" t="inlineStr">
        <is>
          <t>Tahun Baru</t>
        </is>
      </c>
      <c r="E17" s="5" t="inlineStr">
        <is>
          <t>Rekap: unggulan 60 dtk</t>
        </is>
      </c>
      <c r="F17" s="5" t="inlineStr">
        <is>
          <t>A24</t>
        </is>
      </c>
      <c r="G17" s="5" t="inlineStr">
        <is>
          <t>A23, A46</t>
        </is>
      </c>
    </row>
    <row r="18" ht="34" customHeight="1">
      <c r="A18" s="9" t="inlineStr">
        <is>
          <t>M14</t>
        </is>
      </c>
      <c r="B18" s="5" t="inlineStr">
        <is>
          <t>4 Jan – 10 Jan 2027</t>
        </is>
      </c>
      <c r="C18" s="5" t="inlineStr">
        <is>
          <t>Peluncuran PP 33</t>
        </is>
      </c>
      <c r="D18" s="5" t="inlineStr">
        <is>
          <t>—</t>
        </is>
      </c>
      <c r="E18" s="5" t="inlineStr">
        <is>
          <t>M02 · M20</t>
        </is>
      </c>
      <c r="F18" s="5" t="inlineStr">
        <is>
          <t>A24, A40</t>
        </is>
      </c>
      <c r="G18" s="5" t="inlineStr">
        <is>
          <t>A23, A48</t>
        </is>
      </c>
    </row>
    <row r="19" ht="34" customHeight="1">
      <c r="A19" s="9" t="inlineStr">
        <is>
          <t>M15</t>
        </is>
      </c>
      <c r="B19" s="5" t="inlineStr">
        <is>
          <t>11 Jan – 17 Jan 2027</t>
        </is>
      </c>
      <c r="C19" s="5" t="inlineStr">
        <is>
          <t>Peluncuran PP 33</t>
        </is>
      </c>
      <c r="D19" s="5" t="inlineStr">
        <is>
          <t>16 Jan 2027: PP 33 berlaku</t>
        </is>
      </c>
      <c r="E19" s="5" t="inlineStr">
        <is>
          <t>Unggulan (tayang ulang) · M11</t>
        </is>
      </c>
      <c r="F19" s="5" t="inlineStr">
        <is>
          <t>A05, A42</t>
        </is>
      </c>
      <c r="G19" s="5" t="inlineStr">
        <is>
          <t>A23 (hari H), A26</t>
        </is>
      </c>
    </row>
    <row r="20" ht="34" customHeight="1">
      <c r="A20" s="9" t="inlineStr">
        <is>
          <t>M16</t>
        </is>
      </c>
      <c r="B20" s="5" t="inlineStr">
        <is>
          <t>18 Jan – 24 Jan 2027</t>
        </is>
      </c>
      <c r="C20" s="5" t="inlineStr">
        <is>
          <t>Pasca peluncuran</t>
        </is>
      </c>
      <c r="D20" s="5" t="inlineStr">
        <is>
          <t>—</t>
        </is>
      </c>
      <c r="E20" s="5" t="inlineStr">
        <is>
          <t>Evaluasi &amp; tayang ulang terbaik</t>
        </is>
      </c>
      <c r="F20" s="5" t="inlineStr">
        <is>
          <t>A20, A38</t>
        </is>
      </c>
      <c r="G20" s="5" t="inlineStr">
        <is>
          <t>A37</t>
        </is>
      </c>
    </row>
  </sheetData>
  <mergeCells count="1">
    <mergeCell ref="A2:G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40" customWidth="1" min="4" max="4"/>
    <col width="20" customWidth="1" min="5" max="5"/>
    <col width="20" customWidth="1" min="6" max="6"/>
  </cols>
  <sheetData>
    <row r="1">
      <c r="A1" s="10" t="inlineStr">
        <is>
          <t>Metodologi skor &amp; jenis hook</t>
        </is>
      </c>
    </row>
    <row r="2" ht="34" customHeight="1">
      <c r="A2" s="2" t="inlineStr">
        <is>
          <t>Skor adalah ESTIMASI EDITORIAL (penilaian berdasar tren, relevansi, dan kekuatan pesan), bukan data historis. Validasi dengan uji tayang kecil (lihat KPI).</t>
        </is>
      </c>
    </row>
    <row r="4">
      <c r="A4" s="37" t="inlineStr">
        <is>
          <t>Bobot skor total (ubah angka di kolom C; skor total &amp; peringkat di sheet "Rancangan Ads Meme" ikut berubah)</t>
        </is>
      </c>
    </row>
    <row r="5">
      <c r="B5" s="37" t="inlineStr">
        <is>
          <t>Awareness</t>
        </is>
      </c>
      <c r="C5" s="38" t="n">
        <v>0.35</v>
      </c>
    </row>
    <row r="6">
      <c r="B6" s="37" t="inlineStr">
        <is>
          <t>Convert</t>
        </is>
      </c>
      <c r="C6" s="38" t="n">
        <v>0.35</v>
      </c>
    </row>
    <row r="7">
      <c r="B7" s="37" t="inlineStr">
        <is>
          <t>Share</t>
        </is>
      </c>
      <c r="C7" s="38" t="n">
        <v>0.3</v>
      </c>
    </row>
    <row r="8">
      <c r="B8" s="37" t="inlineStr">
        <is>
          <t>Total bobot</t>
        </is>
      </c>
      <c r="C8" s="39">
        <f>SUM(C5:C7)</f>
        <v/>
      </c>
    </row>
    <row r="10">
      <c r="A10" s="37" t="inlineStr">
        <is>
          <t>Kriteria skor</t>
        </is>
      </c>
    </row>
    <row r="11" ht="30" customHeight="1">
      <c r="B11" s="37" t="inlineStr">
        <is>
          <t>Relatable</t>
        </is>
      </c>
      <c r="C11" s="2" t="inlineStr">
        <is>
          <t>Seberapa cepat target merasa "ini gue banget" dalam 3 detik pertama.</t>
        </is>
      </c>
    </row>
    <row r="12" ht="30" customHeight="1">
      <c r="B12" s="37" t="inlineStr">
        <is>
          <t>Awareness</t>
        </is>
      </c>
      <c r="C12" s="2" t="inlineStr">
        <is>
          <t>Potensi jangkauan: hook kuat, format dikenal luas &amp; masih naik, relevan bagi audiens luas.</t>
        </is>
      </c>
    </row>
    <row r="13" ht="30" customHeight="1">
      <c r="B13" s="37" t="inlineStr">
        <is>
          <t>Convert</t>
        </is>
      </c>
      <c r="C13" s="2" t="inlineStr">
        <is>
          <t>Kejelasan masalah → modul/layanan, CTA konkret (Pre Check, demo, konsultasi), audiens = pengambil keputusan.</t>
        </is>
      </c>
    </row>
    <row r="14" ht="30" customHeight="1">
      <c r="B14" s="37" t="inlineStr">
        <is>
          <t>Share</t>
        </is>
      </c>
      <c r="C14" s="2" t="inlineStr">
        <is>
          <t>Dorongan "tag temanmu": humor identitas profesi, mudah ditiru, aman merek.</t>
        </is>
      </c>
    </row>
    <row r="15" ht="30" customHeight="1">
      <c r="B15" s="37" t="inlineStr">
        <is>
          <t>Indeks viral</t>
        </is>
      </c>
      <c r="C15" s="2" t="inlineStr">
        <is>
          <t>Rata-rata Relatable dan Share.</t>
        </is>
      </c>
    </row>
    <row r="16" ht="30" customHeight="1">
      <c r="B16" s="37" t="inlineStr">
        <is>
          <t>Skala</t>
        </is>
      </c>
      <c r="C16" s="2" t="inlineStr">
        <is>
          <t>1–3 lemah · 4–6 cukup · 7–8 kuat · 9–10 sangat kuat.</t>
        </is>
      </c>
    </row>
    <row r="18">
      <c r="A18" s="37" t="inlineStr">
        <is>
          <t>Jenis hook (wajib ada di setiap video)</t>
        </is>
      </c>
    </row>
    <row r="19" ht="34" customHeight="1">
      <c r="A19" s="3" t="inlineStr"/>
      <c r="B19" s="3" t="inlineStr">
        <is>
          <t>Jenis</t>
        </is>
      </c>
      <c r="C19" s="3" t="inlineStr">
        <is>
          <t>Cara kerja</t>
        </is>
      </c>
      <c r="D19" s="3" t="inlineStr">
        <is>
          <t>Contoh</t>
        </is>
      </c>
      <c r="E19" s="3" t="inlineStr"/>
      <c r="F19" s="3" t="inlineStr"/>
    </row>
    <row r="20" ht="40" customHeight="1">
      <c r="A20" s="5" t="inlineStr"/>
      <c r="B20" s="14" t="inlineStr">
        <is>
          <t>Reverse psychology</t>
        </is>
      </c>
      <c r="C20" s="5" t="inlineStr">
        <is>
          <t>Melarang/menantang penonton supaya penasaran.</t>
        </is>
      </c>
      <c r="D20" s="5" t="inlineStr">
        <is>
          <t>"Jangan tonton video ini… kalau perusahaanmu tidak menyimpan data pelanggan." (Unggulan) · "Jangan cek skor kepatuhanmu…" (M02)</t>
        </is>
      </c>
      <c r="E20" s="6" t="n"/>
      <c r="F20" s="7" t="n"/>
    </row>
    <row r="21" ht="40" customHeight="1">
      <c r="A21" s="5" t="inlineStr"/>
      <c r="B21" s="14" t="inlineStr">
        <is>
          <t>Relate</t>
        </is>
      </c>
      <c r="C21" s="5" t="inlineStr">
        <is>
          <t>Situasi yang langsung dikenali target, bikin "ini gue banget".</t>
        </is>
      </c>
      <c r="D21" s="5" t="inlineStr">
        <is>
          <t>"Siapa yang punya RoPA_final_revisi3_FIX.xlsx?" (M04) · "Email paling ditakuti CS" (M07)</t>
        </is>
      </c>
      <c r="E21" s="6" t="n"/>
      <c r="F21" s="7" t="n"/>
    </row>
    <row r="22" ht="40" customHeight="1">
      <c r="A22" s="5" t="inlineStr"/>
      <c r="B22" s="14" t="inlineStr">
        <is>
          <t>Anomali</t>
        </is>
      </c>
      <c r="C22" s="5" t="inlineStr">
        <is>
          <t>Fakta/visual janggal yang menghentikan scroll.</t>
        </is>
      </c>
      <c r="D22" s="5" t="inlineStr">
        <is>
          <t>"Pengguna paling setia aplikasimu mungkin masih kelas 5 SD." (M09) · "12 anak usaha, 12 definisi patuh" (M21)</t>
        </is>
      </c>
      <c r="E22" s="6" t="n"/>
      <c r="F22" s="7" t="n"/>
    </row>
    <row r="23" ht="40" customHeight="1">
      <c r="A23" s="5" t="inlineStr"/>
      <c r="B23" s="14" t="inlineStr">
        <is>
          <t>Logika dipatahkan</t>
        </is>
      </c>
      <c r="C23" s="5" t="inlineStr">
        <is>
          <t>Membantah anggapan umum dengan kalimat pendek.</t>
        </is>
      </c>
      <c r="D23" s="5" t="inlineStr">
        <is>
          <t>"Laporan terbaik bukan yang paling tebal." (M01) · "Kontrak diteken ≠ data aman." (M17)</t>
        </is>
      </c>
      <c r="E23" s="6" t="n"/>
      <c r="F23" s="7" t="n"/>
    </row>
    <row r="25">
      <c r="A25" s="37" t="inlineStr">
        <is>
          <t>KPI untuk memvalidasi skor (uji 2–3 varian/minggu, dorong yang terbaik dengan anggaran kecil)</t>
        </is>
      </c>
    </row>
    <row r="26" ht="30" customHeight="1">
      <c r="B26" s="37" t="inlineStr">
        <is>
          <t>Awareness</t>
        </is>
      </c>
      <c r="C26" s="2" t="inlineStr">
        <is>
          <t>3-second view rate, rata-rata durasi tonton, completion rate, jangkauan unik</t>
        </is>
      </c>
    </row>
    <row r="27" ht="30" customHeight="1">
      <c r="B27" s="37" t="inlineStr">
        <is>
          <t>Share</t>
        </is>
      </c>
      <c r="C27" s="2" t="inlineStr">
        <is>
          <t>Share &amp; save per 1.000 view, komentar yang men-tag orang lain</t>
        </is>
      </c>
    </row>
    <row r="28" ht="30" customHeight="1">
      <c r="B28" s="37" t="inlineStr">
        <is>
          <t>Convert</t>
        </is>
      </c>
      <c r="C28" s="2" t="inlineStr">
        <is>
          <t>CTR ke privasimu.com, Start Pre Check / permintaan demo / konsultasi, biaya per lead</t>
        </is>
      </c>
    </row>
    <row r="29" ht="30" customHeight="1">
      <c r="B29" s="37" t="inlineStr">
        <is>
          <t>Keputusan</t>
        </is>
      </c>
      <c r="C29" s="2" t="inlineStr">
        <is>
          <t>Awareness &amp; share tertinggi → organik &amp; boost jangkauan; convert tertinggi → iklan berbayar ke pengambil keputusan (LinkedIn/Meta)</t>
        </is>
      </c>
    </row>
  </sheetData>
  <mergeCells count="15">
    <mergeCell ref="C13:F13"/>
    <mergeCell ref="A2:F2"/>
    <mergeCell ref="D23:F23"/>
    <mergeCell ref="C26:F26"/>
    <mergeCell ref="C12:F12"/>
    <mergeCell ref="D22:F22"/>
    <mergeCell ref="C27:F27"/>
    <mergeCell ref="C29:F29"/>
    <mergeCell ref="C16:F16"/>
    <mergeCell ref="C15:F15"/>
    <mergeCell ref="C11:F11"/>
    <mergeCell ref="C28:F28"/>
    <mergeCell ref="D21:F21"/>
    <mergeCell ref="D20:F20"/>
    <mergeCell ref="C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2026-09-29T10:30:28Z</dcterms:created>
  <dcterms:modified xmlns:dcterms="http://purl.org/dc/terms/" xmlns:xsi="http://www.w3.org/2001/XMLSchema-instance" xsi:type="dcterms:W3CDTF">2026-09-29T10:30:29Z</dcterms:modified>
</cp:coreProperties>
</file>