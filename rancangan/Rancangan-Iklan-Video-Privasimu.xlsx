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Ringkasan Gaya" sheetId="2" state="visible" r:id="rId2"/>
    <sheet xmlns:r="http://schemas.openxmlformats.org/officeDocument/2006/relationships" name="Katalog Gaya" sheetId="3" state="visible" r:id="rId3"/>
    <sheet xmlns:r="http://schemas.openxmlformats.org/officeDocument/2006/relationships" name="Hook Frasa Viral" sheetId="4" state="visible" r:id="rId4"/>
    <sheet xmlns:r="http://schemas.openxmlformats.org/officeDocument/2006/relationships" name="Flow Semua Modul" sheetId="5" state="visible" r:id="rId5"/>
    <sheet xmlns:r="http://schemas.openxmlformats.org/officeDocument/2006/relationships" name="Daftar Video Modul" sheetId="6" state="visible" r:id="rId6"/>
    <sheet xmlns:r="http://schemas.openxmlformats.org/officeDocument/2006/relationships" name="Flow per Modul" sheetId="7" state="visible" r:id="rId7"/>
    <sheet xmlns:r="http://schemas.openxmlformats.org/officeDocument/2006/relationships" name="Video Pendek 5-10-15" sheetId="8" state="visible" r:id="rId8"/>
    <sheet xmlns:r="http://schemas.openxmlformats.org/officeDocument/2006/relationships" name="Rancangan Ads Meme" sheetId="9" state="visible" r:id="rId9"/>
    <sheet xmlns:r="http://schemas.openxmlformats.org/officeDocument/2006/relationships" name="Screenshot per Modul" sheetId="10" state="visible" r:id="rId10"/>
    <sheet xmlns:r="http://schemas.openxmlformats.org/officeDocument/2006/relationships" name="Bank Sound Meme" sheetId="11" state="visible" r:id="rId11"/>
    <sheet xmlns:r="http://schemas.openxmlformats.org/officeDocument/2006/relationships" name="Efek VO" sheetId="12" state="visible" r:id="rId12"/>
    <sheet xmlns:r="http://schemas.openxmlformats.org/officeDocument/2006/relationships" name="Opsi TTS" sheetId="13" state="visible" r:id="rId13"/>
    <sheet xmlns:r="http://schemas.openxmlformats.org/officeDocument/2006/relationships" name="Kalender Tayang" sheetId="14" state="visible" r:id="rId14"/>
    <sheet xmlns:r="http://schemas.openxmlformats.org/officeDocument/2006/relationships" name="Metodologi Skor" sheetId="15" state="visible" r:id="rId15"/>
  </sheets>
  <definedNames>
    <definedName name="W_AW">'Metodologi Skor'!$C$5</definedName>
    <definedName name="W_CV">'Metodologi Skor'!$C$6</definedName>
    <definedName name="W_SH">'Metodologi Skor'!$C$7</definedName>
    <definedName name="W_GAYA_WOW">'Ringkasan Gaya'!$C$15</definedName>
    <definedName name="W_GAYA_MEREK">'Ringkasan Gaya'!$C$16</definedName>
    <definedName name="W_GAYA_MUDAH">'Ringkasan Gaya'!$C$17</definedName>
    <definedName name="_xlnm._FilterDatabase" localSheetId="2" hidden="1">'Katalog Gaya'!$A$1:$Y$254</definedName>
    <definedName name="_xlnm._FilterDatabase" localSheetId="3" hidden="1">'Hook Frasa Viral'!$A$14:$I$47</definedName>
    <definedName name="_xlnm._FilterDatabase" localSheetId="4" hidden="1">'Flow Semua Modul'!$A$4:$J$33</definedName>
    <definedName name="_xlnm._FilterDatabase" localSheetId="5" hidden="1">'Daftar Video Modul'!$A$4:$M$26</definedName>
    <definedName name="_xlnm._FilterDatabase" localSheetId="7" hidden="1">'Video Pendek 5-10-15'!$A$4:$M$36</definedName>
    <definedName name="_xlnm._FilterDatabase" localSheetId="8" hidden="1">'Rancangan Ads Meme'!$A$1:$Z$49</definedName>
    <definedName name="_xlnm._FilterDatabase" localSheetId="9" hidden="1">'Screenshot per Modul'!$A$4:$F$82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B1B4D"/>
      <sz val="16"/>
    </font>
    <font>
      <b val="1"/>
      <color rgb="00FFFFFF"/>
      <sz val="11"/>
    </font>
    <font>
      <b val="1"/>
      <color rgb="000B1B4D"/>
    </font>
    <font>
      <b val="1"/>
      <color rgb="000B1B4D"/>
      <sz val="12"/>
    </font>
    <font>
      <b val="1"/>
      <color rgb="002F6BFF"/>
      <u val="single"/>
    </font>
    <font>
      <color rgb="002F6BFF"/>
      <u val="single"/>
    </font>
    <font>
      <b val="1"/>
      <color rgb="002F6BFF"/>
    </font>
    <font>
      <b val="1"/>
    </font>
    <font>
      <b val="1"/>
      <color rgb="000B1B4D"/>
      <sz val="18"/>
    </font>
  </fonts>
  <fills count="11">
    <fill>
      <patternFill/>
    </fill>
    <fill>
      <patternFill patternType="gray125"/>
    </fill>
    <fill>
      <patternFill patternType="solid">
        <fgColor rgb="000B1B4D"/>
      </patternFill>
    </fill>
    <fill>
      <patternFill patternType="solid">
        <fgColor rgb="00FFF3C4"/>
      </patternFill>
    </fill>
    <fill>
      <patternFill patternType="solid">
        <fgColor rgb="00FAFBFD"/>
      </patternFill>
    </fill>
    <fill>
      <patternFill patternType="solid">
        <fgColor rgb="00E3F2FF"/>
      </patternFill>
    </fill>
    <fill>
      <patternFill patternType="solid">
        <fgColor rgb="00DCE6FF"/>
      </patternFill>
    </fill>
    <fill>
      <patternFill patternType="solid">
        <fgColor rgb="00FDE2E2"/>
      </patternFill>
    </fill>
    <fill>
      <patternFill patternType="solid">
        <fgColor rgb="00E6F6EC"/>
      </patternFill>
    </fill>
    <fill>
      <patternFill patternType="solid">
        <fgColor rgb="00FFF4D6"/>
      </patternFill>
    </fill>
    <fill>
      <patternFill patternType="solid">
        <fgColor rgb="00FFF7CC"/>
      </patternFill>
    </fill>
  </fills>
  <borders count="6">
    <border>
      <left/>
      <right/>
      <top/>
      <bottom/>
      <diagonal/>
    </border>
    <border>
      <left style="thin">
        <color rgb="00D5DBE7"/>
      </left>
      <right style="thin">
        <color rgb="00D5DBE7"/>
      </right>
      <top style="thin">
        <color rgb="00D5DBE7"/>
      </top>
      <bottom style="thin">
        <color rgb="00D5DBE7"/>
      </bottom>
    </border>
    <border>
      <left/>
      <right/>
      <top style="thin">
        <color rgb="00D5DBE7"/>
      </top>
      <bottom/>
      <diagonal/>
    </border>
    <border>
      <left/>
      <right style="thin">
        <color rgb="00D5DBE7"/>
      </right>
      <top style="thin">
        <color rgb="00D5DBE7"/>
      </top>
      <bottom/>
      <diagonal/>
    </border>
    <border>
      <left/>
      <right/>
      <top style="thin">
        <color rgb="00D5DBE7"/>
      </top>
      <bottom style="thin">
        <color rgb="00D5DBE7"/>
      </bottom>
      <diagonal/>
    </border>
    <border>
      <left/>
      <right style="thin">
        <color rgb="00D5DBE7"/>
      </right>
      <top style="thin">
        <color rgb="00D5DBE7"/>
      </top>
      <bottom style="thin">
        <color rgb="00D5DBE7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  <xf numFmtId="0" fontId="8" fillId="0" borderId="0" pivotButton="0" quotePrefix="0" xfId="0"/>
    <xf numFmtId="9" fontId="0" fillId="10" borderId="1" applyAlignment="1" pivotButton="0" quotePrefix="0" xfId="0">
      <alignment horizontal="left"/>
    </xf>
    <xf numFmtId="9" fontId="0" fillId="0" borderId="0" applyAlignment="1" pivotButton="0" quotePrefix="0" xfId="0">
      <alignment horizontal="left"/>
    </xf>
    <xf numFmtId="0" fontId="3" fillId="3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9" fontId="0" fillId="10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9" fontId="0" fillId="3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3" fillId="7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3" fillId="8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9" fontId="0" fillId="10" borderId="1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ingkasan Gaya'!A1" TargetMode="External" Id="rId1"/><Relationship Type="http://schemas.openxmlformats.org/officeDocument/2006/relationships/hyperlink" Target="#'Katalog Gaya'!A1" TargetMode="External" Id="rId2"/><Relationship Type="http://schemas.openxmlformats.org/officeDocument/2006/relationships/hyperlink" Target="#'Hook Frasa Viral'!A1" TargetMode="External" Id="rId3"/><Relationship Type="http://schemas.openxmlformats.org/officeDocument/2006/relationships/hyperlink" Target="#'Flow Semua Modul'!A1" TargetMode="External" Id="rId4"/><Relationship Type="http://schemas.openxmlformats.org/officeDocument/2006/relationships/hyperlink" Target="#'Daftar Video Modul'!A1" TargetMode="External" Id="rId5"/><Relationship Type="http://schemas.openxmlformats.org/officeDocument/2006/relationships/hyperlink" Target="#'Flow per Modul'!A1" TargetMode="External" Id="rId6"/><Relationship Type="http://schemas.openxmlformats.org/officeDocument/2006/relationships/hyperlink" Target="#'Video Pendek 5-10-15'!A1" TargetMode="External" Id="rId7"/><Relationship Type="http://schemas.openxmlformats.org/officeDocument/2006/relationships/hyperlink" Target="#'Rancangan Ads Meme'!A1" TargetMode="External" Id="rId8"/><Relationship Type="http://schemas.openxmlformats.org/officeDocument/2006/relationships/hyperlink" Target="#'Screenshot per Modul'!A1" TargetMode="External" Id="rId9"/><Relationship Type="http://schemas.openxmlformats.org/officeDocument/2006/relationships/hyperlink" Target="#'Bank Sound Meme'!A1" TargetMode="External" Id="rId10"/><Relationship Type="http://schemas.openxmlformats.org/officeDocument/2006/relationships/hyperlink" Target="#'Efek VO'!A1" TargetMode="External" Id="rId11"/><Relationship Type="http://schemas.openxmlformats.org/officeDocument/2006/relationships/hyperlink" Target="#'Opsi TTS'!A1" TargetMode="External" Id="rId12"/><Relationship Type="http://schemas.openxmlformats.org/officeDocument/2006/relationships/hyperlink" Target="#'Kalender Tayang'!A1" TargetMode="External" Id="rId13"/><Relationship Type="http://schemas.openxmlformats.org/officeDocument/2006/relationships/hyperlink" Target="#'Metodologi Skor'!A1" TargetMode="External" Id="rId14"/></Relationships>
</file>

<file path=xl/worksheets/_rels/sheet6.xml.rels><Relationships xmlns="http://schemas.openxmlformats.org/package/2006/relationships"><Relationship Type="http://schemas.openxmlformats.org/officeDocument/2006/relationships/hyperlink" Target="#'Flow per Modul'!A5" TargetMode="External" Id="rId1"/><Relationship Type="http://schemas.openxmlformats.org/officeDocument/2006/relationships/hyperlink" Target="#'Flow per Modul'!A14" TargetMode="External" Id="rId2"/><Relationship Type="http://schemas.openxmlformats.org/officeDocument/2006/relationships/hyperlink" Target="#'Flow per Modul'!A24" TargetMode="External" Id="rId3"/><Relationship Type="http://schemas.openxmlformats.org/officeDocument/2006/relationships/hyperlink" Target="#'Flow per Modul'!A32" TargetMode="External" Id="rId4"/><Relationship Type="http://schemas.openxmlformats.org/officeDocument/2006/relationships/hyperlink" Target="#'Flow per Modul'!A43" TargetMode="External" Id="rId5"/><Relationship Type="http://schemas.openxmlformats.org/officeDocument/2006/relationships/hyperlink" Target="#'Flow per Modul'!A53" TargetMode="External" Id="rId6"/><Relationship Type="http://schemas.openxmlformats.org/officeDocument/2006/relationships/hyperlink" Target="#'Flow per Modul'!A60" TargetMode="External" Id="rId7"/><Relationship Type="http://schemas.openxmlformats.org/officeDocument/2006/relationships/hyperlink" Target="#'Flow per Modul'!A71" TargetMode="External" Id="rId8"/><Relationship Type="http://schemas.openxmlformats.org/officeDocument/2006/relationships/hyperlink" Target="#'Flow per Modul'!A81" TargetMode="External" Id="rId9"/><Relationship Type="http://schemas.openxmlformats.org/officeDocument/2006/relationships/hyperlink" Target="#'Flow per Modul'!A89" TargetMode="External" Id="rId10"/><Relationship Type="http://schemas.openxmlformats.org/officeDocument/2006/relationships/hyperlink" Target="#'Flow per Modul'!A96" TargetMode="External" Id="rId11"/><Relationship Type="http://schemas.openxmlformats.org/officeDocument/2006/relationships/hyperlink" Target="#'Flow per Modul'!A106" TargetMode="External" Id="rId12"/><Relationship Type="http://schemas.openxmlformats.org/officeDocument/2006/relationships/hyperlink" Target="#'Flow per Modul'!A114" TargetMode="External" Id="rId13"/><Relationship Type="http://schemas.openxmlformats.org/officeDocument/2006/relationships/hyperlink" Target="#'Flow per Modul'!A124" TargetMode="External" Id="rId14"/><Relationship Type="http://schemas.openxmlformats.org/officeDocument/2006/relationships/hyperlink" Target="#'Flow per Modul'!A132" TargetMode="External" Id="rId15"/><Relationship Type="http://schemas.openxmlformats.org/officeDocument/2006/relationships/hyperlink" Target="#'Flow per Modul'!A141" TargetMode="External" Id="rId16"/><Relationship Type="http://schemas.openxmlformats.org/officeDocument/2006/relationships/hyperlink" Target="#'Flow per Modul'!A150" TargetMode="External" Id="rId17"/><Relationship Type="http://schemas.openxmlformats.org/officeDocument/2006/relationships/hyperlink" Target="#'Flow per Modul'!A158" TargetMode="External" Id="rId18"/><Relationship Type="http://schemas.openxmlformats.org/officeDocument/2006/relationships/hyperlink" Target="#'Flow per Modul'!A165" TargetMode="External" Id="rId19"/><Relationship Type="http://schemas.openxmlformats.org/officeDocument/2006/relationships/hyperlink" Target="#'Flow per Modul'!A174" TargetMode="External" Id="rId20"/><Relationship Type="http://schemas.openxmlformats.org/officeDocument/2006/relationships/hyperlink" Target="#'Flow per Modul'!A182" TargetMode="External" Id="rId21"/><Relationship Type="http://schemas.openxmlformats.org/officeDocument/2006/relationships/hyperlink" Target="#'Flow per Modul'!A190" TargetMode="External" Id="rId22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myinstants.com/en/instant/meme/" TargetMode="External" Id="rId1"/><Relationship Type="http://schemas.openxmlformats.org/officeDocument/2006/relationships/hyperlink" Target="https://www.myinstants.com/en/instant/faaah-63455/" TargetMode="External" Id="rId2"/><Relationship Type="http://schemas.openxmlformats.org/officeDocument/2006/relationships/hyperlink" Target="https://www.myinstants.com/en/instant/sad-violin-the-meme-one/" TargetMode="External" Id="rId3"/><Relationship Type="http://schemas.openxmlformats.org/officeDocument/2006/relationships/hyperlink" Target="https://www.myinstants.com/en/instant/among-us-role-reveal-sound-34956/" TargetMode="External" Id="rId4"/><Relationship Type="http://schemas.openxmlformats.org/officeDocument/2006/relationships/hyperlink" Target="https://www.myinstants.com/en/instant/error-soundss-25534/" TargetMode="External" Id="rId5"/><Relationship Type="http://schemas.openxmlformats.org/officeDocument/2006/relationships/hyperlink" Target="https://www.myinstants.com/en/instant/baby-laughing-meme-56428/" TargetMode="External" Id="rId6"/><Relationship Type="http://schemas.openxmlformats.org/officeDocument/2006/relationships/hyperlink" Target="https://www.myinstants.com/en/instant/punch-sound-86161/" TargetMode="External" Id="rId7"/><Relationship Type="http://schemas.openxmlformats.org/officeDocument/2006/relationships/hyperlink" Target="https://www.myinstants.com/en/instant/spiderman-meme-song-37638/" TargetMode="External" Id="rId8"/><Relationship Type="http://schemas.openxmlformats.org/officeDocument/2006/relationships/hyperlink" Target="https://www.myinstants.com/en/instant/instagram-thud-55328/" TargetMode="External" Id="rId9"/><Relationship Type="http://schemas.openxmlformats.org/officeDocument/2006/relationships/hyperlink" Target="https://www.myinstants.com/en/instant/shocked-sound-37548/" TargetMode="External" Id="rId10"/><Relationship Type="http://schemas.openxmlformats.org/officeDocument/2006/relationships/hyperlink" Target="https://www.myinstants.com/en/instant/dun-dun-dunnnnnnnn-68584/" TargetMode="External" Id="rId11"/><Relationship Type="http://schemas.openxmlformats.org/officeDocument/2006/relationships/hyperlink" Target="https://www.myinstants.com/en/instant/zvuk-fotoapparata-61186/" TargetMode="External" Id="rId12"/><Relationship Type="http://schemas.openxmlformats.org/officeDocument/2006/relationships/hyperlink" Target="https://www.myinstants.com/en/instant/death-sound-fortnite-13941/" TargetMode="External" Id="rId13"/><Relationship Type="http://schemas.openxmlformats.org/officeDocument/2006/relationships/hyperlink" Target="https://www.myinstants.com/en/instant/emotional-damage-meme-74555/" TargetMode="External" Id="rId14"/><Relationship Type="http://schemas.openxmlformats.org/officeDocument/2006/relationships/hyperlink" Target="https://www.myinstants.com/en/instant/cat-laugh-meme-1-15761/" TargetMode="External" Id="rId15"/><Relationship Type="http://schemas.openxmlformats.org/officeDocument/2006/relationships/hyperlink" Target="https://www.myinstants.com/en/instant/galaxy-meme-18643/" TargetMode="External" Id="rId16"/><Relationship Type="http://schemas.openxmlformats.org/officeDocument/2006/relationships/hyperlink" Target="https://www.myinstants.com/en/instant/fart-meme-sound-46799/" TargetMode="External" Id="rId17"/><Relationship Type="http://schemas.openxmlformats.org/officeDocument/2006/relationships/hyperlink" Target="https://www.myinstants.com/en/instant/meme-final-91448/" TargetMode="External" Id="rId18"/><Relationship Type="http://schemas.openxmlformats.org/officeDocument/2006/relationships/hyperlink" Target="https://www.myinstants.com/en/instant/run-vine/" TargetMode="External" Id="rId19"/><Relationship Type="http://schemas.openxmlformats.org/officeDocument/2006/relationships/hyperlink" Target="https://www.myinstants.com/en/instant/haha-funny-laugh-93061/" TargetMode="External" Id="rId20"/><Relationship Type="http://schemas.openxmlformats.org/officeDocument/2006/relationships/hyperlink" Target="https://www.myinstants.com/en/instant/dexter-meme-26140/" TargetMode="External" Id="rId21"/><Relationship Type="http://schemas.openxmlformats.org/officeDocument/2006/relationships/hyperlink" Target="https://www.myinstants.com/en/instant/999-social-credit-siren-82729/" TargetMode="External" Id="rId22"/><Relationship Type="http://schemas.openxmlformats.org/officeDocument/2006/relationships/hyperlink" Target="https://www.myinstants.com/en/instant/asian-meme-huh-49043/" TargetMode="External" Id="rId23"/><Relationship Type="http://schemas.openxmlformats.org/officeDocument/2006/relationships/hyperlink" Target="https://www.myinstants.com/en/instant/snore-mimimimimimi-76562/" TargetMode="External" Id="rId24"/><Relationship Type="http://schemas.openxmlformats.org/officeDocument/2006/relationships/hyperlink" Target="https://www.myinstants.com/en/instant/outro-song-77850/" TargetMode="External" Id="rId25"/><Relationship Type="http://schemas.openxmlformats.org/officeDocument/2006/relationships/hyperlink" Target="https://www.myinstants.com/en/instant/long-brain-fart-60967/" TargetMode="External" Id="rId26"/><Relationship Type="http://schemas.openxmlformats.org/officeDocument/2006/relationships/hyperlink" Target="https://www.myinstants.com/en/instant/oh-my-god-meme-88573/" TargetMode="External" Id="rId27"/><Relationship Type="http://schemas.openxmlformats.org/officeDocument/2006/relationships/hyperlink" Target="https://www.myinstants.com/en/instant/wide-putin-meme-6467/" TargetMode="External" Id="rId28"/><Relationship Type="http://schemas.openxmlformats.org/officeDocument/2006/relationships/hyperlink" Target="https://www.myinstants.com/en/instant/du-bist-gut-genug-22336/" TargetMode="External" Id="rId29"/><Relationship Type="http://schemas.openxmlformats.org/officeDocument/2006/relationships/hyperlink" Target="https://www.myinstants.com/en/instant/what-da-dog-doin-35890/" TargetMode="External" Id="rId30"/><Relationship Type="http://schemas.openxmlformats.org/officeDocument/2006/relationships/hyperlink" Target="https://www.myinstants.com/en/instant/meme-mp3-37545/" TargetMode="External" Id="rId31"/><Relationship Type="http://schemas.openxmlformats.org/officeDocument/2006/relationships/hyperlink" Target="https://www.myinstants.com/en/instant/wow-anime-meme-55752/" TargetMode="External" Id="rId32"/><Relationship Type="http://schemas.openxmlformats.org/officeDocument/2006/relationships/hyperlink" Target="https://www.myinstants.com/en/instant/french-meme-song-55813/" TargetMode="External" Id="rId33"/><Relationship Type="http://schemas.openxmlformats.org/officeDocument/2006/relationships/hyperlink" Target="https://www.myinstants.com/en/instant/fart-meme-sound-better-and-louder-32265/" TargetMode="External" Id="rId34"/><Relationship Type="http://schemas.openxmlformats.org/officeDocument/2006/relationships/hyperlink" Target="https://www.myinstants.com/en/instant/what-bottom-text-meme-sanctuary-guardian-s-24591/" TargetMode="External" Id="rId35"/><Relationship Type="http://schemas.openxmlformats.org/officeDocument/2006/relationships/hyperlink" Target="https://www.myinstants.com/en/instant/deja-vu-meme-13405/" TargetMode="External" Id="rId36"/></Relationships>
</file>

<file path=xl/worksheets/_rels/sheet13.xml.rels><Relationships xmlns="http://schemas.openxmlformats.org/package/2006/relationships"><Relationship Type="http://schemas.openxmlformats.org/officeDocument/2006/relationships/hyperlink" Target="https://elevenlabs.io/pricing" TargetMode="External" Id="rId1"/><Relationship Type="http://schemas.openxmlformats.org/officeDocument/2006/relationships/hyperlink" Target="https://docs.cloud.google.com/text-to-speech/docs/chirp3-hd" TargetMode="External" Id="rId2"/><Relationship Type="http://schemas.openxmlformats.org/officeDocument/2006/relationships/hyperlink" Target="https://gizmologi.id/aplikasi/prosa-ai-hadirkan-pembaruan-text-to-speech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46" customWidth="1" min="3" max="3"/>
    <col width="18" customWidth="1" min="4" max="4"/>
    <col width="9" customWidth="1" min="5" max="5"/>
    <col width="30" customWidth="1" min="6" max="6"/>
  </cols>
  <sheetData>
    <row r="1">
      <c r="A1" s="1" t="inlineStr">
        <is>
          <t>Rancangan Iklan &amp; Video Privasimu: Q4 2026 → PP 33 berlaku (16 Jan 2027)</t>
        </is>
      </c>
    </row>
    <row r="2" ht="46" customHeight="1">
      <c r="A2" s="2" t="inlineStr">
        <is>
          <t>Isi: 1 flow unggulan "semua modul" (± 3 menit, dengan versi 60 &amp; 30 dtk) · 22 video modul · 32 video pendek 5/10/15 dtk · 48 konsep iklan meme · 253 gaya motion graphic (7 keluarga) · 33 frasa hook. Setiap video punya hook (reverse psychology / relate / anomali / logika dipatahkan) dan lokasi screenshot per adegan. Dibuat 29 Sep 2026, diperbarui 30 Sep 2026. Yang sudah jadi video: N01–N11, M01, M02, A22, T01–T03, GB05 (lihat kolom Status di Katalog Gaya).</t>
        </is>
      </c>
    </row>
    <row r="4" ht="34" customHeight="1">
      <c r="A4" s="3" t="inlineStr">
        <is>
          <t>Sheet</t>
        </is>
      </c>
      <c r="B4" s="3" t="inlineStr">
        <is>
          <t>Isi</t>
        </is>
      </c>
      <c r="C4" s="3" t="inlineStr"/>
      <c r="D4" s="3" t="inlineStr"/>
      <c r="E4" s="3" t="inlineStr"/>
      <c r="F4" s="3" t="inlineStr"/>
    </row>
    <row r="5" ht="30" customHeight="1">
      <c r="A5" s="4" t="inlineStr">
        <is>
          <t>Ringkasan Gaya</t>
        </is>
      </c>
      <c r="B5" s="5" t="inlineStr">
        <is>
          <t>Peta 253 gaya motion graphic dalam 7 keluarga: jumlah per status, bobot skor, cara membaca, dan 10 teratas tipografi &amp; grafis-bentuk.</t>
        </is>
      </c>
      <c r="C5" s="6" t="n"/>
      <c r="D5" s="6" t="n"/>
      <c r="E5" s="6" t="n"/>
      <c r="F5" s="7" t="n"/>
    </row>
    <row r="6" ht="30" customHeight="1">
      <c r="A6" s="4" t="inlineStr">
        <is>
          <t>Katalog Gaya</t>
        </is>
      </c>
      <c r="B6" s="5" t="inlineStr">
        <is>
          <t>Daftar lengkap gaya: tampilan, status, skor, video usulan (hook, alur, komposisi edukasi vs meme), modul, aset layar, teknik, catatan.</t>
        </is>
      </c>
      <c r="C6" s="6" t="n"/>
      <c r="D6" s="6" t="n"/>
      <c r="E6" s="6" t="n"/>
      <c r="F6" s="7" t="n"/>
    </row>
    <row r="7" ht="30" customHeight="1">
      <c r="A7" s="4" t="inlineStr">
        <is>
          <t>Hook Frasa Viral</t>
        </is>
      </c>
      <c r="B7" s="5" t="inlineStr">
        <is>
          <t>33 frasa pemancing (politik, warganet, kantor, suara meme) + aturan pakai aman dan tingkat risikonya.</t>
        </is>
      </c>
      <c r="C7" s="6" t="n"/>
      <c r="D7" s="6" t="n"/>
      <c r="E7" s="6" t="n"/>
      <c r="F7" s="7" t="n"/>
    </row>
    <row r="8" ht="30" customHeight="1">
      <c r="A8" s="4" t="inlineStr">
        <is>
          <t>Flow Semua Modul</t>
        </is>
      </c>
      <c r="B8" s="5" t="inlineStr">
        <is>
          <t>Flow unggulan "Perjalanan Satu Data": semua modul dalam satu video (± 3 menit), per adegan + screenshot. Kolom terakhir menandai adegan untuk versi 60 &amp; 30 dtk.</t>
        </is>
      </c>
      <c r="C8" s="6" t="n"/>
      <c r="D8" s="6" t="n"/>
      <c r="E8" s="6" t="n"/>
      <c r="F8" s="7" t="n"/>
    </row>
    <row r="9" ht="30" customHeight="1">
      <c r="A9" s="4" t="inlineStr">
        <is>
          <t>Daftar Video Modul</t>
        </is>
      </c>
      <c r="B9" s="5" t="inlineStr">
        <is>
          <t>Ringkasan 22 video modul: judul, hook &amp; jenisnya, target, pesan, CTA, dasar klaim, status screenshot.</t>
        </is>
      </c>
      <c r="C9" s="6" t="n"/>
      <c r="D9" s="6" t="n"/>
      <c r="E9" s="6" t="n"/>
      <c r="F9" s="7" t="n"/>
    </row>
    <row r="10" ht="30" customHeight="1">
      <c r="A10" s="4" t="inlineStr">
        <is>
          <t>Flow per Modul</t>
        </is>
      </c>
      <c r="B10" s="5" t="inlineStr">
        <is>
          <t>Flow adegan per video modul: waktu, visual, path screenshot, crop/sorot/blur, teks layar, VO, SFX.</t>
        </is>
      </c>
      <c r="C10" s="6" t="n"/>
      <c r="D10" s="6" t="n"/>
      <c r="E10" s="6" t="n"/>
      <c r="F10" s="7" t="n"/>
    </row>
    <row r="11" ht="30" customHeight="1">
      <c r="A11" s="4" t="inlineStr">
        <is>
          <t>Video Pendek 5-10-15</t>
        </is>
      </c>
      <c r="B11" s="5" t="inlineStr">
        <is>
          <t>32 video pendek (bumper 5 dtk, 10 dtk, 15 dtk), meme &amp; serius.</t>
        </is>
      </c>
      <c r="C11" s="6" t="n"/>
      <c r="D11" s="6" t="n"/>
      <c r="E11" s="6" t="n"/>
      <c r="F11" s="7" t="n"/>
    </row>
    <row r="12" ht="30" customHeight="1">
      <c r="A12" s="4" t="inlineStr">
        <is>
          <t>Rancangan Ads Meme</t>
        </is>
      </c>
      <c r="B12" s="5" t="inlineStr">
        <is>
          <t>48 konsep iklan meme dengan skor Awareness · Convert · Share (bobot bisa diubah).</t>
        </is>
      </c>
      <c r="C12" s="6" t="n"/>
      <c r="D12" s="6" t="n"/>
      <c r="E12" s="6" t="n"/>
      <c r="F12" s="7" t="n"/>
    </row>
    <row r="13" ht="30" customHeight="1">
      <c r="A13" s="4" t="inlineStr">
        <is>
          <t>Screenshot per Modul</t>
        </is>
      </c>
      <c r="B13" s="5" t="inlineStr">
        <is>
          <t>Inventaris screenshot: path, isi, status, catatan blur; daftar screenshot yang perlu diambil baru.</t>
        </is>
      </c>
      <c r="C13" s="6" t="n"/>
      <c r="D13" s="6" t="n"/>
      <c r="E13" s="6" t="n"/>
      <c r="F13" s="7" t="n"/>
    </row>
    <row r="14" ht="30" customHeight="1">
      <c r="A14" s="4" t="inlineStr">
        <is>
          <t>Bank Sound Meme</t>
        </is>
      </c>
      <c r="B14" s="5" t="inlineStr">
        <is>
          <t>Hasil cek myinstants + versi aman tiap suara (synth / rekaman tim).</t>
        </is>
      </c>
      <c r="C14" s="6" t="n"/>
      <c r="D14" s="6" t="n"/>
      <c r="E14" s="6" t="n"/>
      <c r="F14" s="7" t="n"/>
    </row>
    <row r="15" ht="30" customHeight="1">
      <c r="A15" s="4" t="inlineStr">
        <is>
          <t>Efek VO</t>
        </is>
      </c>
      <c r="B15" s="5" t="inlineStr">
        <is>
          <t>Preset efek suara VO (berat, tupai, telepon, toa, robot, gema, bisik, dll.).</t>
        </is>
      </c>
      <c r="C15" s="6" t="n"/>
      <c r="D15" s="6" t="n"/>
      <c r="E15" s="6" t="n"/>
      <c r="F15" s="7" t="n"/>
    </row>
    <row r="16" ht="30" customHeight="1">
      <c r="A16" s="4" t="inlineStr">
        <is>
          <t>Opsi TTS</t>
        </is>
      </c>
      <c r="B16" s="5" t="inlineStr">
        <is>
          <t>ElevenLabs, Prosa.ai, Google Chirp 3 HD, Azure: perbandingan &amp; cara pakai.</t>
        </is>
      </c>
      <c r="C16" s="6" t="n"/>
      <c r="D16" s="6" t="n"/>
      <c r="E16" s="6" t="n"/>
      <c r="F16" s="7" t="n"/>
    </row>
    <row r="17" ht="30" customHeight="1">
      <c r="A17" s="4" t="inlineStr">
        <is>
          <t>Kalender Tayang</t>
        </is>
      </c>
      <c r="B17" s="5" t="inlineStr">
        <is>
          <t>Jadwal mingguan Okt 2026 – Jan 2027.</t>
        </is>
      </c>
      <c r="C17" s="6" t="n"/>
      <c r="D17" s="6" t="n"/>
      <c r="E17" s="6" t="n"/>
      <c r="F17" s="7" t="n"/>
    </row>
    <row r="18" ht="30" customHeight="1">
      <c r="A18" s="4" t="inlineStr">
        <is>
          <t>Metodologi Skor</t>
        </is>
      </c>
      <c r="B18" s="5" t="inlineStr">
        <is>
          <t>Bobot skor, kriteria, 4 jenis hook, KPI validasi.</t>
        </is>
      </c>
      <c r="C18" s="6" t="n"/>
      <c r="D18" s="6" t="n"/>
      <c r="E18" s="6" t="n"/>
      <c r="F18" s="7" t="n"/>
    </row>
    <row r="20">
      <c r="A20" s="8" t="inlineStr">
        <is>
          <t>Urutan produksi yang disarankan</t>
        </is>
      </c>
    </row>
    <row r="21" ht="30" customHeight="1">
      <c r="A21" s="2" t="inlineStr">
        <is>
          <t>1. Flow unggulan "Perjalanan Satu Data" (3 menit) + potongan 60 &amp; 30 dtk: fondasi kampanye.</t>
        </is>
      </c>
    </row>
    <row r="22" ht="30" customHeight="1">
      <c r="A22" s="2" t="inlineStr">
        <is>
          <t>2. Video modul 10 produk inti di landing page: M02 GAP, M04 RoPA, M05 DPIA, M07 DSR, M08 Consent &amp; Cookie, M13 Pihak Ketiga, M14 Transfer Lintas Negara, M11 Insiden, M15 Data Discovery, M19 Priva AI.</t>
        </is>
      </c>
    </row>
    <row r="23" ht="30" customHeight="1">
      <c r="A23" s="2" t="inlineStr">
        <is>
          <t>3. Video pendek dari potongan N11 &amp; modul (P01–P32) untuk ritme harian.</t>
        </is>
      </c>
    </row>
    <row r="24" ht="30" customHeight="1">
      <c r="A24" s="2" t="inlineStr">
        <is>
          <t>4. Modul lain (M01, M03, M06, M09, M10, M12, M16–M18, M20–M22), dengan mengambil screenshot baru dulu bila statusnya "PERLU SCREENSHOT BARU".</t>
        </is>
      </c>
    </row>
    <row r="26">
      <c r="A26" s="8" t="inlineStr">
        <is>
          <t>Catatan penting</t>
        </is>
      </c>
    </row>
    <row r="27" ht="40" customHeight="1">
      <c r="A27" s="2" t="inlineStr">
        <is>
          <t>• Screenshot yang dirujuk adalah tampilan frontend LAMA (sesuai arahan: boleh dipakai). Path relatif dari D:\AI\privasimu.</t>
        </is>
      </c>
    </row>
    <row r="28" ht="40" customHeight="1">
      <c r="A28" s="2" t="inlineStr">
        <is>
          <t>• JANGAN pakai: dataroom/02-superadmin/holding-dashboard/* (nama perusahaan nyata), dsr/01-overview (merek bank nyata), tabel cookie (nama layanan &amp; domain nyata), data-discovery/03-system-detail (form kredensial), bagian "DPO / Team" di ropa/03 (email).</t>
        </is>
      </c>
    </row>
    <row r="29" ht="40" customHeight="1">
      <c r="A29" s="2" t="inlineStr">
        <is>
          <t>• myinstants.com: hanya untuk pemakaian pribadi &amp; nonkomersial → file aslinya tidak dipakai. "FAAAH" dkk. direkam ulang tim atau dibuat dengan ElevenLabs (paket berbayar).</t>
        </is>
      </c>
    </row>
    <row r="30" ht="40" customHeight="1">
      <c r="A30" s="2" t="inlineStr">
        <is>
          <t>• Suara TTS sekarang (edge-tts) hanya placeholder. Untuk logat Indonesia natural: ElevenLabs, Prosa.ai, atau Google Chirp 3 HD (sheet Opsi TTS).</t>
        </is>
      </c>
    </row>
    <row r="31" ht="40" customHeight="1">
      <c r="A31" s="2" t="inlineStr">
        <is>
          <t>• Klaim produk mengacu fakta_produk.json, katalog modul, dan tampilan aplikasi (kolom "Dasar fakta"). Tokoh (mis. Rina) &amp; angka lucu adalah ilustrasi. Promo "Start Pre Check (gratis)" &amp; "konsultasi gratis": cek masih berlaku.</t>
        </is>
      </c>
    </row>
    <row r="33">
      <c r="A33" s="8" t="inlineStr">
        <is>
          <t>Top 10 konsep meme (skor total, bobot awal 35/35/30)</t>
        </is>
      </c>
    </row>
    <row r="34" ht="34" customHeight="1">
      <c r="A34" s="3" t="inlineStr">
        <is>
          <t>#</t>
        </is>
      </c>
      <c r="B34" s="3" t="inlineStr">
        <is>
          <t>ID</t>
        </is>
      </c>
      <c r="C34" s="3" t="inlineStr">
        <is>
          <t>Judul</t>
        </is>
      </c>
      <c r="D34" s="3" t="inlineStr">
        <is>
          <t>Jenis hook</t>
        </is>
      </c>
      <c r="E34" s="3" t="inlineStr">
        <is>
          <t>Skor</t>
        </is>
      </c>
      <c r="F34" s="3" t="inlineStr">
        <is>
          <t>Status</t>
        </is>
      </c>
    </row>
    <row r="35" ht="22" customHeight="1">
      <c r="A35" s="9" t="n">
        <v>1</v>
      </c>
      <c r="B35" s="9" t="inlineStr">
        <is>
          <t>A22</t>
        </is>
      </c>
      <c r="C35" s="5" t="inlineStr">
        <is>
          <t>Rekap Tahunan DPO 2026</t>
        </is>
      </c>
      <c r="D35" s="5" t="inlineStr">
        <is>
          <t>Relate</t>
        </is>
      </c>
      <c r="E35" s="9" t="n">
        <v>8.199999999999999</v>
      </c>
      <c r="F35" s="5" t="inlineStr">
        <is>
          <t>Baru</t>
        </is>
      </c>
    </row>
    <row r="36" ht="22" customHeight="1">
      <c r="A36" s="9" t="n">
        <v>2</v>
      </c>
      <c r="B36" s="9" t="inlineStr">
        <is>
          <t>A47</t>
        </is>
      </c>
      <c r="C36" s="5" t="inlineStr">
        <is>
          <t>Roasting RoPA (live)</t>
        </is>
      </c>
      <c r="D36" s="5" t="inlineStr">
        <is>
          <t>Reverse psychology</t>
        </is>
      </c>
      <c r="E36" s="9" t="n">
        <v>8</v>
      </c>
      <c r="F36" s="5" t="inlineStr">
        <is>
          <t>Baru</t>
        </is>
      </c>
    </row>
    <row r="37" ht="22" customHeight="1">
      <c r="A37" s="9" t="n">
        <v>3</v>
      </c>
      <c r="B37" s="9" t="inlineStr">
        <is>
          <t>A48</t>
        </is>
      </c>
      <c r="C37" s="5" t="inlineStr">
        <is>
          <t>#RoPA60Detik challenge</t>
        </is>
      </c>
      <c r="D37" s="5" t="inlineStr">
        <is>
          <t>Reverse psychology</t>
        </is>
      </c>
      <c r="E37" s="9" t="n">
        <v>8</v>
      </c>
      <c r="F37" s="5" t="inlineStr">
        <is>
          <t>Baru</t>
        </is>
      </c>
    </row>
    <row r="38" ht="22" customHeight="1">
      <c r="A38" s="9" t="n">
        <v>4</v>
      </c>
      <c r="B38" s="9" t="inlineStr">
        <is>
          <t>A02</t>
        </is>
      </c>
      <c r="C38" s="5" t="inlineStr">
        <is>
          <t>Astaga, bercanda (Pak Bos edition)</t>
        </is>
      </c>
      <c r="D38" s="5" t="inlineStr">
        <is>
          <t>Relate</t>
        </is>
      </c>
      <c r="E38" s="9" t="n">
        <v>7.9</v>
      </c>
      <c r="F38" s="5" t="inlineStr">
        <is>
          <t>Sudah jadi (potongan N11)</t>
        </is>
      </c>
    </row>
    <row r="39" ht="22" customHeight="1">
      <c r="A39" s="9" t="n">
        <v>5</v>
      </c>
      <c r="B39" s="9" t="inlineStr">
        <is>
          <t>A09</t>
        </is>
      </c>
      <c r="C39" s="5" t="inlineStr">
        <is>
          <t>Nobody: / Marketing jam 5 sore</t>
        </is>
      </c>
      <c r="D39" s="5" t="inlineStr">
        <is>
          <t>Relate</t>
        </is>
      </c>
      <c r="E39" s="9" t="n">
        <v>7.9</v>
      </c>
      <c r="F39" s="5" t="inlineStr">
        <is>
          <t>Baru (kit, mirip N05)</t>
        </is>
      </c>
    </row>
    <row r="40" ht="22" customHeight="1">
      <c r="A40" s="9" t="n">
        <v>6</v>
      </c>
      <c r="B40" s="9" t="inlineStr">
        <is>
          <t>A01</t>
        </is>
      </c>
      <c r="C40" s="5" t="inlineStr">
        <is>
          <t>FAAAH: RoPA-nya masih Excel</t>
        </is>
      </c>
      <c r="D40" s="5" t="inlineStr">
        <is>
          <t>Relate</t>
        </is>
      </c>
      <c r="E40" s="9" t="n">
        <v>7.7</v>
      </c>
      <c r="F40" s="5" t="inlineStr">
        <is>
          <t>Bisa dibuat dari kit (varian N04)</t>
        </is>
      </c>
    </row>
    <row r="41" ht="22" customHeight="1">
      <c r="A41" s="9" t="n">
        <v>7</v>
      </c>
      <c r="B41" s="9" t="inlineStr">
        <is>
          <t>A04</t>
        </is>
      </c>
      <c r="C41" s="5" t="inlineStr">
        <is>
          <t>Orang have vs haven't vs not yet</t>
        </is>
      </c>
      <c r="D41" s="5" t="inlineStr">
        <is>
          <t>Relate</t>
        </is>
      </c>
      <c r="E41" s="9" t="n">
        <v>7.7</v>
      </c>
      <c r="F41" s="5" t="inlineStr">
        <is>
          <t>Sudah jadi (potongan N11)</t>
        </is>
      </c>
    </row>
    <row r="42" ht="22" customHeight="1">
      <c r="A42" s="9" t="n">
        <v>8</v>
      </c>
      <c r="B42" s="9" t="inlineStr">
        <is>
          <t>A08</t>
        </is>
      </c>
      <c r="C42" s="5" t="inlineStr">
        <is>
          <t>EMOTIONAL DAMAGE: denda 2%</t>
        </is>
      </c>
      <c r="D42" s="5" t="inlineStr">
        <is>
          <t>Anomali</t>
        </is>
      </c>
      <c r="E42" s="9" t="n">
        <v>7.7</v>
      </c>
      <c r="F42" s="5" t="inlineStr">
        <is>
          <t>Baru (kit)</t>
        </is>
      </c>
    </row>
    <row r="43" ht="22" customHeight="1">
      <c r="A43" s="9" t="n">
        <v>9</v>
      </c>
      <c r="B43" s="9" t="inlineStr">
        <is>
          <t>A21</t>
        </is>
      </c>
      <c r="C43" s="5" t="inlineStr">
        <is>
          <t>Day in the life of a DPO (versi jujur)</t>
        </is>
      </c>
      <c r="D43" s="5" t="inlineStr">
        <is>
          <t>Relate</t>
        </is>
      </c>
      <c r="E43" s="9" t="n">
        <v>7.7</v>
      </c>
      <c r="F43" s="5" t="inlineStr">
        <is>
          <t>Baru</t>
        </is>
      </c>
    </row>
    <row r="44" ht="22" customHeight="1">
      <c r="A44" s="9" t="n">
        <v>10</v>
      </c>
      <c r="B44" s="9" t="inlineStr">
        <is>
          <t>A24</t>
        </is>
      </c>
      <c r="C44" s="5" t="inlineStr">
        <is>
          <t>Resolusi 2027: patuh PP 33</t>
        </is>
      </c>
      <c r="D44" s="5" t="inlineStr">
        <is>
          <t>Logika dipatahkan</t>
        </is>
      </c>
      <c r="E44" s="9" t="n">
        <v>7.7</v>
      </c>
      <c r="F44" s="5" t="inlineStr">
        <is>
          <t>Baru</t>
        </is>
      </c>
    </row>
  </sheetData>
  <mergeCells count="24">
    <mergeCell ref="B7:F7"/>
    <mergeCell ref="B16:F16"/>
    <mergeCell ref="A27:F27"/>
    <mergeCell ref="A21:F21"/>
    <mergeCell ref="B18:F18"/>
    <mergeCell ref="A2:F2"/>
    <mergeCell ref="B12:F12"/>
    <mergeCell ref="B11:F11"/>
    <mergeCell ref="A23:F23"/>
    <mergeCell ref="A22:F22"/>
    <mergeCell ref="B14:F14"/>
    <mergeCell ref="B8:F8"/>
    <mergeCell ref="B17:F17"/>
    <mergeCell ref="A29:F29"/>
    <mergeCell ref="B13:F13"/>
    <mergeCell ref="A28:F28"/>
    <mergeCell ref="B10:F10"/>
    <mergeCell ref="A31:F31"/>
    <mergeCell ref="A30:F30"/>
    <mergeCell ref="B9:F9"/>
    <mergeCell ref="A24:F24"/>
    <mergeCell ref="B6:F6"/>
    <mergeCell ref="B15:F15"/>
    <mergeCell ref="B5:F5"/>
  </mergeCell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34" customWidth="1" min="3" max="3"/>
    <col width="26" customWidth="1" min="4" max="4"/>
    <col width="12" customWidth="1" min="5" max="5"/>
    <col width="13" customWidth="1" min="6" max="6"/>
    <col width="30" customWidth="1" min="7" max="7"/>
    <col width="34" customWidth="1" min="8" max="8"/>
    <col width="26" customWidth="1" min="9" max="9"/>
    <col width="13" customWidth="1" min="10" max="10"/>
  </cols>
  <sheetData>
    <row r="1">
      <c r="A1" s="10" t="inlineStr">
        <is>
          <t>Peta gaya motion graphic: 7 keluarga</t>
        </is>
      </c>
    </row>
    <row r="2" ht="46" customHeight="1">
      <c r="A2" s="2" t="inlineStr">
        <is>
          <t>253 gaya, masing-masing dengan usulan video (hook, alur, modul, komposisi edukasi vs meme). Urutan produksi: one-line art dulu (permintaan), lalu SEMUA tipografi, lalu SEMUA grafis &amp; bentuk, baru keluarga lain. Daftar lengkap di sheet "Katalog Gaya" (saring kolom Keluarga, urutkan kolom Peringkat).</t>
        </is>
      </c>
    </row>
    <row r="4" ht="34" customHeight="1">
      <c r="A4" s="3" t="inlineStr">
        <is>
          <t>Kode</t>
        </is>
      </c>
      <c r="B4" s="3" t="inlineStr">
        <is>
          <t>Keluarga</t>
        </is>
      </c>
      <c r="C4" s="3" t="inlineStr">
        <is>
          <t>Ciri</t>
        </is>
      </c>
      <c r="D4" s="3" t="inlineStr">
        <is>
          <t>Gelombang</t>
        </is>
      </c>
      <c r="E4" s="3" t="inlineStr">
        <is>
          <t>Jumlah gaya</t>
        </is>
      </c>
      <c r="F4" s="3" t="inlineStr">
        <is>
          <t>Sudah dipakai</t>
        </is>
      </c>
      <c r="G4" s="3" t="inlineStr">
        <is>
          <t>Bisa</t>
        </is>
      </c>
      <c r="H4" s="3" t="inlineStr">
        <is>
          <t>Berat</t>
        </is>
      </c>
      <c r="I4" s="3" t="inlineStr">
        <is>
          <t>Tidak cocok</t>
        </is>
      </c>
      <c r="J4" s="3" t="inlineStr">
        <is>
          <t>Rata-rata wow</t>
        </is>
      </c>
    </row>
    <row r="5" ht="30" customHeight="1">
      <c r="A5" s="9" t="inlineStr">
        <is>
          <t>TY</t>
        </is>
      </c>
      <c r="B5" s="11" t="inlineStr">
        <is>
          <t>Tipografi</t>
        </is>
      </c>
      <c r="C5" s="5" t="inlineStr">
        <is>
          <t>Huruf jadi bintang utama; hampir tanpa gambar.</t>
        </is>
      </c>
      <c r="D5" s="9" t="n">
        <v>1</v>
      </c>
      <c r="E5" s="9">
        <f>COUNTIF('Katalog Gaya'!$B$2:$B$254,B5)</f>
        <v/>
      </c>
      <c r="F5" s="9">
        <f>COUNTIFS('Katalog Gaya'!$B$2:$B$254,$B5,'Katalog Gaya'!$E$2:$E$254,"Sudah")</f>
        <v/>
      </c>
      <c r="G5" s="9">
        <f>COUNTIFS('Katalog Gaya'!$B$2:$B$254,$B5,'Katalog Gaya'!$E$2:$E$254,"Bisa")</f>
        <v/>
      </c>
      <c r="H5" s="9">
        <f>COUNTIFS('Katalog Gaya'!$B$2:$B$254,$B5,'Katalog Gaya'!$E$2:$E$254,"Berat")</f>
        <v/>
      </c>
      <c r="I5" s="9">
        <f>COUNTIFS('Katalog Gaya'!$B$2:$B$254,$B5,'Katalog Gaya'!$E$2:$E$254,"Tidak cocok")</f>
        <v/>
      </c>
      <c r="J5" s="9">
        <f>ROUND(AVERAGEIF('Katalog Gaya'!$B$2:$B$254,B5,'Katalog Gaya'!$H$2:$H$254),1)</f>
        <v/>
      </c>
    </row>
    <row r="6" ht="30" customHeight="1">
      <c r="A6" s="9" t="inlineStr">
        <is>
          <t>GB</t>
        </is>
      </c>
      <c r="B6" s="11" t="inlineStr">
        <is>
          <t>Grafis &amp; bentuk</t>
        </is>
      </c>
      <c r="C6" s="5" t="inlineStr">
        <is>
          <t>Bentuk, garis, dan diagram yang bercerita.</t>
        </is>
      </c>
      <c r="D6" s="9" t="n">
        <v>2</v>
      </c>
      <c r="E6" s="9">
        <f>COUNTIF('Katalog Gaya'!$B$2:$B$254,B6)</f>
        <v/>
      </c>
      <c r="F6" s="9">
        <f>COUNTIFS('Katalog Gaya'!$B$2:$B$254,$B6,'Katalog Gaya'!$E$2:$E$254,"Sudah")</f>
        <v/>
      </c>
      <c r="G6" s="9">
        <f>COUNTIFS('Katalog Gaya'!$B$2:$B$254,$B6,'Katalog Gaya'!$E$2:$E$254,"Bisa")</f>
        <v/>
      </c>
      <c r="H6" s="9">
        <f>COUNTIFS('Katalog Gaya'!$B$2:$B$254,$B6,'Katalog Gaya'!$E$2:$E$254,"Berat")</f>
        <v/>
      </c>
      <c r="I6" s="9">
        <f>COUNTIFS('Katalog Gaya'!$B$2:$B$254,$B6,'Katalog Gaya'!$E$2:$E$254,"Tidak cocok")</f>
        <v/>
      </c>
      <c r="J6" s="9">
        <f>ROUND(AVERAGEIF('Katalog Gaya'!$B$2:$B$254,B6,'Katalog Gaya'!$H$2:$H$254),1)</f>
        <v/>
      </c>
    </row>
    <row r="7" ht="30" customHeight="1">
      <c r="A7" s="9" t="inlineStr">
        <is>
          <t>CR</t>
        </is>
      </c>
      <c r="B7" s="11" t="inlineStr">
        <is>
          <t>Craft (buatan tangan)</t>
        </is>
      </c>
      <c r="C7" s="5" t="inlineStr">
        <is>
          <t>Tekstur kertas, tinta, dan benda nyata.</t>
        </is>
      </c>
      <c r="D7" s="9" t="n">
        <v>3</v>
      </c>
      <c r="E7" s="9">
        <f>COUNTIF('Katalog Gaya'!$B$2:$B$254,B7)</f>
        <v/>
      </c>
      <c r="F7" s="9">
        <f>COUNTIFS('Katalog Gaya'!$B$2:$B$254,$B7,'Katalog Gaya'!$E$2:$E$254,"Sudah")</f>
        <v/>
      </c>
      <c r="G7" s="9">
        <f>COUNTIFS('Katalog Gaya'!$B$2:$B$254,$B7,'Katalog Gaya'!$E$2:$E$254,"Bisa")</f>
        <v/>
      </c>
      <c r="H7" s="9">
        <f>COUNTIFS('Katalog Gaya'!$B$2:$B$254,$B7,'Katalog Gaya'!$E$2:$E$254,"Berat")</f>
        <v/>
      </c>
      <c r="I7" s="9">
        <f>COUNTIFS('Katalog Gaya'!$B$2:$B$254,$B7,'Katalog Gaya'!$E$2:$E$254,"Tidak cocok")</f>
        <v/>
      </c>
      <c r="J7" s="9">
        <f>ROUND(AVERAGEIF('Katalog Gaya'!$B$2:$B$254,B7,'Katalog Gaya'!$H$2:$H$254),1)</f>
        <v/>
      </c>
    </row>
    <row r="8" ht="30" customHeight="1">
      <c r="A8" s="9" t="inlineStr">
        <is>
          <t>UI</t>
        </is>
      </c>
      <c r="B8" s="11" t="inlineStr">
        <is>
          <t>Layar &amp; UI</t>
        </is>
      </c>
      <c r="C8" s="5" t="inlineStr">
        <is>
          <t>Cerita terjadi di layar: aplikasi, chat, desktop.</t>
        </is>
      </c>
      <c r="D8" s="9" t="n">
        <v>4</v>
      </c>
      <c r="E8" s="9">
        <f>COUNTIF('Katalog Gaya'!$B$2:$B$254,B8)</f>
        <v/>
      </c>
      <c r="F8" s="9">
        <f>COUNTIFS('Katalog Gaya'!$B$2:$B$254,$B8,'Katalog Gaya'!$E$2:$E$254,"Sudah")</f>
        <v/>
      </c>
      <c r="G8" s="9">
        <f>COUNTIFS('Katalog Gaya'!$B$2:$B$254,$B8,'Katalog Gaya'!$E$2:$E$254,"Bisa")</f>
        <v/>
      </c>
      <c r="H8" s="9">
        <f>COUNTIFS('Katalog Gaya'!$B$2:$B$254,$B8,'Katalog Gaya'!$E$2:$E$254,"Berat")</f>
        <v/>
      </c>
      <c r="I8" s="9">
        <f>COUNTIFS('Katalog Gaya'!$B$2:$B$254,$B8,'Katalog Gaya'!$E$2:$E$254,"Tidak cocok")</f>
        <v/>
      </c>
      <c r="J8" s="9">
        <f>ROUND(AVERAGEIF('Katalog Gaya'!$B$2:$B$254,B8,'Katalog Gaya'!$H$2:$H$254),1)</f>
        <v/>
      </c>
    </row>
    <row r="9" ht="30" customHeight="1">
      <c r="A9" s="9" t="inlineStr">
        <is>
          <t>SN</t>
        </is>
      </c>
      <c r="B9" s="11" t="inlineStr">
        <is>
          <t>Sinematik &amp; retro</t>
        </is>
      </c>
      <c r="C9" s="5" t="inlineStr">
        <is>
          <t>Suasana film, cahaya, dan nostalgia.</t>
        </is>
      </c>
      <c r="D9" s="9" t="n">
        <v>5</v>
      </c>
      <c r="E9" s="9">
        <f>COUNTIF('Katalog Gaya'!$B$2:$B$254,B9)</f>
        <v/>
      </c>
      <c r="F9" s="9">
        <f>COUNTIFS('Katalog Gaya'!$B$2:$B$254,$B9,'Katalog Gaya'!$E$2:$E$254,"Sudah")</f>
        <v/>
      </c>
      <c r="G9" s="9">
        <f>COUNTIFS('Katalog Gaya'!$B$2:$B$254,$B9,'Katalog Gaya'!$E$2:$E$254,"Bisa")</f>
        <v/>
      </c>
      <c r="H9" s="9">
        <f>COUNTIFS('Katalog Gaya'!$B$2:$B$254,$B9,'Katalog Gaya'!$E$2:$E$254,"Berat")</f>
        <v/>
      </c>
      <c r="I9" s="9">
        <f>COUNTIFS('Katalog Gaya'!$B$2:$B$254,$B9,'Katalog Gaya'!$E$2:$E$254,"Tidak cocok")</f>
        <v/>
      </c>
      <c r="J9" s="9">
        <f>ROUND(AVERAGEIF('Katalog Gaya'!$B$2:$B$254,B9,'Katalog Gaya'!$H$2:$H$254),1)</f>
        <v/>
      </c>
    </row>
    <row r="10" ht="30" customHeight="1">
      <c r="A10" s="9" t="inlineStr">
        <is>
          <t>PF</t>
        </is>
      </c>
      <c r="B10" s="11" t="inlineStr">
        <is>
          <t>Parodi format</t>
        </is>
      </c>
      <c r="C10" s="5" t="inlineStr">
        <is>
          <t>Format sehari-hari yang dipelesetkan.</t>
        </is>
      </c>
      <c r="D10" s="9" t="n">
        <v>6</v>
      </c>
      <c r="E10" s="9">
        <f>COUNTIF('Katalog Gaya'!$B$2:$B$254,B10)</f>
        <v/>
      </c>
      <c r="F10" s="9">
        <f>COUNTIFS('Katalog Gaya'!$B$2:$B$254,$B10,'Katalog Gaya'!$E$2:$E$254,"Sudah")</f>
        <v/>
      </c>
      <c r="G10" s="9">
        <f>COUNTIFS('Katalog Gaya'!$B$2:$B$254,$B10,'Katalog Gaya'!$E$2:$E$254,"Bisa")</f>
        <v/>
      </c>
      <c r="H10" s="9">
        <f>COUNTIFS('Katalog Gaya'!$B$2:$B$254,$B10,'Katalog Gaya'!$E$2:$E$254,"Berat")</f>
        <v/>
      </c>
      <c r="I10" s="9">
        <f>COUNTIFS('Katalog Gaya'!$B$2:$B$254,$B10,'Katalog Gaya'!$E$2:$E$254,"Tidak cocok")</f>
        <v/>
      </c>
      <c r="J10" s="9">
        <f>ROUND(AVERAGEIF('Katalog Gaya'!$B$2:$B$254,B10,'Katalog Gaya'!$H$2:$H$254),1)</f>
        <v/>
      </c>
    </row>
    <row r="11" ht="30" customHeight="1">
      <c r="A11" s="9" t="inlineStr">
        <is>
          <t>SE</t>
        </is>
      </c>
      <c r="B11" s="11" t="inlineStr">
        <is>
          <t>Struktur edit</t>
        </is>
      </c>
      <c r="C11" s="5" t="inlineStr">
        <is>
          <t>Cara menyusun cerita; bisa digabung dengan gaya mana pun.</t>
        </is>
      </c>
      <c r="D11" s="9" t="n">
        <v>7</v>
      </c>
      <c r="E11" s="9">
        <f>COUNTIF('Katalog Gaya'!$B$2:$B$254,B11)</f>
        <v/>
      </c>
      <c r="F11" s="9">
        <f>COUNTIFS('Katalog Gaya'!$B$2:$B$254,$B11,'Katalog Gaya'!$E$2:$E$254,"Sudah")</f>
        <v/>
      </c>
      <c r="G11" s="9">
        <f>COUNTIFS('Katalog Gaya'!$B$2:$B$254,$B11,'Katalog Gaya'!$E$2:$E$254,"Bisa")</f>
        <v/>
      </c>
      <c r="H11" s="9">
        <f>COUNTIFS('Katalog Gaya'!$B$2:$B$254,$B11,'Katalog Gaya'!$E$2:$E$254,"Berat")</f>
        <v/>
      </c>
      <c r="I11" s="9">
        <f>COUNTIFS('Katalog Gaya'!$B$2:$B$254,$B11,'Katalog Gaya'!$E$2:$E$254,"Tidak cocok")</f>
        <v/>
      </c>
      <c r="J11" s="9">
        <f>ROUND(AVERAGEIF('Katalog Gaya'!$B$2:$B$254,B11,'Katalog Gaya'!$H$2:$H$254),1)</f>
        <v/>
      </c>
    </row>
    <row r="12" ht="24" customHeight="1">
      <c r="A12" s="12" t="inlineStr"/>
      <c r="B12" s="13" t="inlineStr">
        <is>
          <t>TOTAL</t>
        </is>
      </c>
      <c r="C12" s="12" t="inlineStr"/>
      <c r="D12" s="12" t="inlineStr"/>
      <c r="E12" s="14">
        <f>SUM(E5:E11)</f>
        <v/>
      </c>
      <c r="F12" s="14">
        <f>SUM(F5:F11)</f>
        <v/>
      </c>
      <c r="G12" s="14">
        <f>SUM(G5:G11)</f>
        <v/>
      </c>
      <c r="H12" s="14">
        <f>SUM(H5:H11)</f>
        <v/>
      </c>
      <c r="I12" s="14">
        <f>SUM(I5:I11)</f>
        <v/>
      </c>
      <c r="J12" s="14">
        <f>ROUND(AVERAGE('Katalog Gaya'!$H$2:$H$254),1)</f>
        <v/>
      </c>
    </row>
    <row r="14">
      <c r="A14" s="8" t="inlineStr">
        <is>
          <t>Bobot skor prioritas (ubah angka di kolom C; skor &amp; peringkat di "Katalog Gaya" ikut berubah)</t>
        </is>
      </c>
    </row>
    <row r="15">
      <c r="B15" s="15" t="inlineStr">
        <is>
          <t>Wow (daya tarik visual)</t>
        </is>
      </c>
      <c r="C15" s="16" t="n">
        <v>0.45</v>
      </c>
      <c r="D15" s="2" t="inlineStr">
        <is>
          <t>Seberapa kuat gaya ini menghentikan scroll.</t>
        </is>
      </c>
    </row>
    <row r="16">
      <c r="B16" s="15" t="inlineStr">
        <is>
          <t>Cocok merek</t>
        </is>
      </c>
      <c r="C16" s="16" t="n">
        <v>0.35</v>
      </c>
      <c r="D16" s="2" t="inlineStr">
        <is>
          <t>Seberapa pas untuk merek B2B yang serius.</t>
        </is>
      </c>
    </row>
    <row r="17">
      <c r="B17" s="15" t="inlineStr">
        <is>
          <t>Mudah dibuat</t>
        </is>
      </c>
      <c r="C17" s="16" t="n">
        <v>0.2</v>
      </c>
      <c r="D17" s="2" t="inlineStr">
        <is>
          <t>Dari kolom Upaya: upaya 1 = nilai 9, upaya 5 = nilai 1 (rumus 11 − 2 × upaya).</t>
        </is>
      </c>
    </row>
    <row r="18">
      <c r="B18" s="15" t="inlineStr">
        <is>
          <t>Total bobot</t>
        </is>
      </c>
      <c r="C18" s="17">
        <f>SUM(C15:C17)</f>
        <v/>
      </c>
    </row>
    <row r="20">
      <c r="A20" s="8" t="inlineStr">
        <is>
          <t>Cara membaca</t>
        </is>
      </c>
    </row>
    <row r="21" ht="34" customHeight="1">
      <c r="B21" s="15" t="inlineStr">
        <is>
          <t>Status</t>
        </is>
      </c>
      <c r="C21" s="2" t="inlineStr">
        <is>
          <t>Sudah = sudah dipakai di video yang ada · Bisa = bisa dibuat dengan mesin sekarang · Berat = bisa, tapi butuh waktu/aset lebih · Tidak cocok = butuh footage asli, 3D, ilustrator, atau izin.</t>
        </is>
      </c>
    </row>
    <row r="22" ht="34" customHeight="1">
      <c r="B22" s="15" t="inlineStr">
        <is>
          <t>Upaya</t>
        </is>
      </c>
      <c r="C22" s="2" t="inlineStr">
        <is>
          <t>1 = beberapa jam kerja · 3 = sekelas video T01–T03 · 5 = paling berat (banyak objek atau 3D semu).</t>
        </is>
      </c>
    </row>
    <row r="23" ht="34" customHeight="1">
      <c r="B23" s="15" t="inlineStr">
        <is>
          <t>Komposisi</t>
        </is>
      </c>
      <c r="C23" s="2" t="inlineStr">
        <is>
          <t>Porsi durasi untuk hiburan/format meme vs penjelasan &amp; bukti produk. Ubah kolom "Meme %"; kolom Edukasi &amp; Komposisi mengikuti. 0% = murni edukasi, 100% = full meme.</t>
        </is>
      </c>
    </row>
    <row r="24" ht="34" customHeight="1">
      <c r="B24" s="15" t="inlineStr">
        <is>
          <t>Gelombang</t>
        </is>
      </c>
      <c r="C24" s="2" t="inlineStr">
        <is>
          <t>0 = dikerjakan pertama (one-line art) · 1 = tipografi · 2 = grafis &amp; bentuk · 3–7 = keluarga lain. Di dalam satu gelombang, ikuti kolom Peringkat.</t>
        </is>
      </c>
    </row>
    <row r="25" ht="34" customHeight="1">
      <c r="B25" s="15" t="inlineStr">
        <is>
          <t>Skor</t>
        </is>
      </c>
      <c r="C25" s="2" t="inlineStr">
        <is>
          <t>Skor wow, cocok merek, dan upaya adalah ESTIMASI EDITORIAL, bukan data. Validasi dengan uji tayang.</t>
        </is>
      </c>
    </row>
    <row r="26" ht="34" customHeight="1">
      <c r="B26" s="15" t="inlineStr">
        <is>
          <t>Aturan isi</t>
        </is>
      </c>
      <c r="C26" s="2" t="inlineStr">
        <is>
          <t>Fitur hanya dari fakta_produk.json/screenshot asli · angka di hook yang bukan fakta = ilustrasi (diberi label) · "pihak ketiga", bukan "vendor" · tanpa wajah/suara/nama tokoh nyata dan tanpa merek pihak lain.</t>
        </is>
      </c>
    </row>
    <row r="28">
      <c r="A28" s="8" t="inlineStr">
        <is>
          <t>Urutan produksi: 10 teratas tiap gelombang prioritas (mengikuti skor; berubah otomatis bila bobot/skor diubah)</t>
        </is>
      </c>
    </row>
    <row r="29" ht="34" customHeight="1">
      <c r="A29" s="3" t="inlineStr">
        <is>
          <t>#</t>
        </is>
      </c>
      <c r="B29" s="3" t="inlineStr">
        <is>
          <t>Tipografi: gaya</t>
        </is>
      </c>
      <c r="C29" s="3" t="inlineStr">
        <is>
          <t>Video usulan</t>
        </is>
      </c>
      <c r="D29" s="3" t="inlineStr">
        <is>
          <t>Komposisi</t>
        </is>
      </c>
      <c r="E29" s="3" t="inlineStr">
        <is>
          <t>Skor</t>
        </is>
      </c>
      <c r="F29" s="3" t="inlineStr">
        <is>
          <t>#</t>
        </is>
      </c>
      <c r="G29" s="3" t="inlineStr">
        <is>
          <t>Grafis &amp; bentuk: gaya</t>
        </is>
      </c>
      <c r="H29" s="3" t="inlineStr">
        <is>
          <t>Video usulan</t>
        </is>
      </c>
      <c r="I29" s="3" t="inlineStr">
        <is>
          <t>Komposisi</t>
        </is>
      </c>
      <c r="J29" s="3" t="inlineStr">
        <is>
          <t>Skor</t>
        </is>
      </c>
    </row>
    <row r="30" ht="30" customHeight="1">
      <c r="A30" s="9" t="n">
        <v>1</v>
      </c>
      <c r="B30" s="11">
        <f>IFERROR(INDEX('Katalog Gaya'!$C$2:$C$254,MATCH("Tipografi|"&amp;1,'Katalog Gaya'!$AB$2:$AB$254,0)),"")</f>
        <v/>
      </c>
      <c r="C30" s="5">
        <f>IFERROR(INDEX('Katalog Gaya'!$M$2:$M$254,MATCH("Tipografi|"&amp;1,'Katalog Gaya'!$AB$2:$AB$254,0)),"")</f>
        <v/>
      </c>
      <c r="D30" s="5">
        <f>IFERROR(INDEX('Katalog Gaya'!$S$2:$S$254,MATCH("Tipografi|"&amp;1,'Katalog Gaya'!$AB$2:$AB$254,0)),"")</f>
        <v/>
      </c>
      <c r="E30" s="9">
        <f>IFERROR(INDEX('Katalog Gaya'!$J$2:$J$254,MATCH("Tipografi|"&amp;1,'Katalog Gaya'!$AB$2:$AB$254,0)),"")</f>
        <v/>
      </c>
      <c r="F30" s="9" t="n">
        <v>1</v>
      </c>
      <c r="G30" s="11">
        <f>IFERROR(INDEX('Katalog Gaya'!$C$2:$C$254,MATCH("Grafis &amp; bentuk|"&amp;1,'Katalog Gaya'!$AB$2:$AB$254,0)),"")</f>
        <v/>
      </c>
      <c r="H30" s="5">
        <f>IFERROR(INDEX('Katalog Gaya'!$M$2:$M$254,MATCH("Grafis &amp; bentuk|"&amp;1,'Katalog Gaya'!$AB$2:$AB$254,0)),"")</f>
        <v/>
      </c>
      <c r="I30" s="5">
        <f>IFERROR(INDEX('Katalog Gaya'!$S$2:$S$254,MATCH("Grafis &amp; bentuk|"&amp;1,'Katalog Gaya'!$AB$2:$AB$254,0)),"")</f>
        <v/>
      </c>
      <c r="J30" s="9">
        <f>IFERROR(INDEX('Katalog Gaya'!$J$2:$J$254,MATCH("Grafis &amp; bentuk|"&amp;1,'Katalog Gaya'!$AB$2:$AB$254,0)),"")</f>
        <v/>
      </c>
    </row>
    <row r="31" ht="30" customHeight="1">
      <c r="A31" s="9" t="n">
        <v>2</v>
      </c>
      <c r="B31" s="11">
        <f>IFERROR(INDEX('Katalog Gaya'!$C$2:$C$254,MATCH("Tipografi|"&amp;2,'Katalog Gaya'!$AB$2:$AB$254,0)),"")</f>
        <v/>
      </c>
      <c r="C31" s="5">
        <f>IFERROR(INDEX('Katalog Gaya'!$M$2:$M$254,MATCH("Tipografi|"&amp;2,'Katalog Gaya'!$AB$2:$AB$254,0)),"")</f>
        <v/>
      </c>
      <c r="D31" s="5">
        <f>IFERROR(INDEX('Katalog Gaya'!$S$2:$S$254,MATCH("Tipografi|"&amp;2,'Katalog Gaya'!$AB$2:$AB$254,0)),"")</f>
        <v/>
      </c>
      <c r="E31" s="9">
        <f>IFERROR(INDEX('Katalog Gaya'!$J$2:$J$254,MATCH("Tipografi|"&amp;2,'Katalog Gaya'!$AB$2:$AB$254,0)),"")</f>
        <v/>
      </c>
      <c r="F31" s="9" t="n">
        <v>2</v>
      </c>
      <c r="G31" s="11">
        <f>IFERROR(INDEX('Katalog Gaya'!$C$2:$C$254,MATCH("Grafis &amp; bentuk|"&amp;2,'Katalog Gaya'!$AB$2:$AB$254,0)),"")</f>
        <v/>
      </c>
      <c r="H31" s="5">
        <f>IFERROR(INDEX('Katalog Gaya'!$M$2:$M$254,MATCH("Grafis &amp; bentuk|"&amp;2,'Katalog Gaya'!$AB$2:$AB$254,0)),"")</f>
        <v/>
      </c>
      <c r="I31" s="5">
        <f>IFERROR(INDEX('Katalog Gaya'!$S$2:$S$254,MATCH("Grafis &amp; bentuk|"&amp;2,'Katalog Gaya'!$AB$2:$AB$254,0)),"")</f>
        <v/>
      </c>
      <c r="J31" s="9">
        <f>IFERROR(INDEX('Katalog Gaya'!$J$2:$J$254,MATCH("Grafis &amp; bentuk|"&amp;2,'Katalog Gaya'!$AB$2:$AB$254,0)),"")</f>
        <v/>
      </c>
    </row>
    <row r="32" ht="30" customHeight="1">
      <c r="A32" s="9" t="n">
        <v>3</v>
      </c>
      <c r="B32" s="11">
        <f>IFERROR(INDEX('Katalog Gaya'!$C$2:$C$254,MATCH("Tipografi|"&amp;3,'Katalog Gaya'!$AB$2:$AB$254,0)),"")</f>
        <v/>
      </c>
      <c r="C32" s="5">
        <f>IFERROR(INDEX('Katalog Gaya'!$M$2:$M$254,MATCH("Tipografi|"&amp;3,'Katalog Gaya'!$AB$2:$AB$254,0)),"")</f>
        <v/>
      </c>
      <c r="D32" s="5">
        <f>IFERROR(INDEX('Katalog Gaya'!$S$2:$S$254,MATCH("Tipografi|"&amp;3,'Katalog Gaya'!$AB$2:$AB$254,0)),"")</f>
        <v/>
      </c>
      <c r="E32" s="9">
        <f>IFERROR(INDEX('Katalog Gaya'!$J$2:$J$254,MATCH("Tipografi|"&amp;3,'Katalog Gaya'!$AB$2:$AB$254,0)),"")</f>
        <v/>
      </c>
      <c r="F32" s="9" t="n">
        <v>3</v>
      </c>
      <c r="G32" s="11">
        <f>IFERROR(INDEX('Katalog Gaya'!$C$2:$C$254,MATCH("Grafis &amp; bentuk|"&amp;3,'Katalog Gaya'!$AB$2:$AB$254,0)),"")</f>
        <v/>
      </c>
      <c r="H32" s="5">
        <f>IFERROR(INDEX('Katalog Gaya'!$M$2:$M$254,MATCH("Grafis &amp; bentuk|"&amp;3,'Katalog Gaya'!$AB$2:$AB$254,0)),"")</f>
        <v/>
      </c>
      <c r="I32" s="5">
        <f>IFERROR(INDEX('Katalog Gaya'!$S$2:$S$254,MATCH("Grafis &amp; bentuk|"&amp;3,'Katalog Gaya'!$AB$2:$AB$254,0)),"")</f>
        <v/>
      </c>
      <c r="J32" s="9">
        <f>IFERROR(INDEX('Katalog Gaya'!$J$2:$J$254,MATCH("Grafis &amp; bentuk|"&amp;3,'Katalog Gaya'!$AB$2:$AB$254,0)),"")</f>
        <v/>
      </c>
    </row>
    <row r="33" ht="30" customHeight="1">
      <c r="A33" s="9" t="n">
        <v>4</v>
      </c>
      <c r="B33" s="11">
        <f>IFERROR(INDEX('Katalog Gaya'!$C$2:$C$254,MATCH("Tipografi|"&amp;4,'Katalog Gaya'!$AB$2:$AB$254,0)),"")</f>
        <v/>
      </c>
      <c r="C33" s="5">
        <f>IFERROR(INDEX('Katalog Gaya'!$M$2:$M$254,MATCH("Tipografi|"&amp;4,'Katalog Gaya'!$AB$2:$AB$254,0)),"")</f>
        <v/>
      </c>
      <c r="D33" s="5">
        <f>IFERROR(INDEX('Katalog Gaya'!$S$2:$S$254,MATCH("Tipografi|"&amp;4,'Katalog Gaya'!$AB$2:$AB$254,0)),"")</f>
        <v/>
      </c>
      <c r="E33" s="9">
        <f>IFERROR(INDEX('Katalog Gaya'!$J$2:$J$254,MATCH("Tipografi|"&amp;4,'Katalog Gaya'!$AB$2:$AB$254,0)),"")</f>
        <v/>
      </c>
      <c r="F33" s="9" t="n">
        <v>4</v>
      </c>
      <c r="G33" s="11">
        <f>IFERROR(INDEX('Katalog Gaya'!$C$2:$C$254,MATCH("Grafis &amp; bentuk|"&amp;4,'Katalog Gaya'!$AB$2:$AB$254,0)),"")</f>
        <v/>
      </c>
      <c r="H33" s="5">
        <f>IFERROR(INDEX('Katalog Gaya'!$M$2:$M$254,MATCH("Grafis &amp; bentuk|"&amp;4,'Katalog Gaya'!$AB$2:$AB$254,0)),"")</f>
        <v/>
      </c>
      <c r="I33" s="5">
        <f>IFERROR(INDEX('Katalog Gaya'!$S$2:$S$254,MATCH("Grafis &amp; bentuk|"&amp;4,'Katalog Gaya'!$AB$2:$AB$254,0)),"")</f>
        <v/>
      </c>
      <c r="J33" s="9">
        <f>IFERROR(INDEX('Katalog Gaya'!$J$2:$J$254,MATCH("Grafis &amp; bentuk|"&amp;4,'Katalog Gaya'!$AB$2:$AB$254,0)),"")</f>
        <v/>
      </c>
    </row>
    <row r="34" ht="30" customHeight="1">
      <c r="A34" s="9" t="n">
        <v>5</v>
      </c>
      <c r="B34" s="11">
        <f>IFERROR(INDEX('Katalog Gaya'!$C$2:$C$254,MATCH("Tipografi|"&amp;5,'Katalog Gaya'!$AB$2:$AB$254,0)),"")</f>
        <v/>
      </c>
      <c r="C34" s="5">
        <f>IFERROR(INDEX('Katalog Gaya'!$M$2:$M$254,MATCH("Tipografi|"&amp;5,'Katalog Gaya'!$AB$2:$AB$254,0)),"")</f>
        <v/>
      </c>
      <c r="D34" s="5">
        <f>IFERROR(INDEX('Katalog Gaya'!$S$2:$S$254,MATCH("Tipografi|"&amp;5,'Katalog Gaya'!$AB$2:$AB$254,0)),"")</f>
        <v/>
      </c>
      <c r="E34" s="9">
        <f>IFERROR(INDEX('Katalog Gaya'!$J$2:$J$254,MATCH("Tipografi|"&amp;5,'Katalog Gaya'!$AB$2:$AB$254,0)),"")</f>
        <v/>
      </c>
      <c r="F34" s="9" t="n">
        <v>5</v>
      </c>
      <c r="G34" s="11">
        <f>IFERROR(INDEX('Katalog Gaya'!$C$2:$C$254,MATCH("Grafis &amp; bentuk|"&amp;5,'Katalog Gaya'!$AB$2:$AB$254,0)),"")</f>
        <v/>
      </c>
      <c r="H34" s="5">
        <f>IFERROR(INDEX('Katalog Gaya'!$M$2:$M$254,MATCH("Grafis &amp; bentuk|"&amp;5,'Katalog Gaya'!$AB$2:$AB$254,0)),"")</f>
        <v/>
      </c>
      <c r="I34" s="5">
        <f>IFERROR(INDEX('Katalog Gaya'!$S$2:$S$254,MATCH("Grafis &amp; bentuk|"&amp;5,'Katalog Gaya'!$AB$2:$AB$254,0)),"")</f>
        <v/>
      </c>
      <c r="J34" s="9">
        <f>IFERROR(INDEX('Katalog Gaya'!$J$2:$J$254,MATCH("Grafis &amp; bentuk|"&amp;5,'Katalog Gaya'!$AB$2:$AB$254,0)),"")</f>
        <v/>
      </c>
    </row>
    <row r="35" ht="30" customHeight="1">
      <c r="A35" s="9" t="n">
        <v>6</v>
      </c>
      <c r="B35" s="11">
        <f>IFERROR(INDEX('Katalog Gaya'!$C$2:$C$254,MATCH("Tipografi|"&amp;6,'Katalog Gaya'!$AB$2:$AB$254,0)),"")</f>
        <v/>
      </c>
      <c r="C35" s="5">
        <f>IFERROR(INDEX('Katalog Gaya'!$M$2:$M$254,MATCH("Tipografi|"&amp;6,'Katalog Gaya'!$AB$2:$AB$254,0)),"")</f>
        <v/>
      </c>
      <c r="D35" s="5">
        <f>IFERROR(INDEX('Katalog Gaya'!$S$2:$S$254,MATCH("Tipografi|"&amp;6,'Katalog Gaya'!$AB$2:$AB$254,0)),"")</f>
        <v/>
      </c>
      <c r="E35" s="9">
        <f>IFERROR(INDEX('Katalog Gaya'!$J$2:$J$254,MATCH("Tipografi|"&amp;6,'Katalog Gaya'!$AB$2:$AB$254,0)),"")</f>
        <v/>
      </c>
      <c r="F35" s="9" t="n">
        <v>6</v>
      </c>
      <c r="G35" s="11">
        <f>IFERROR(INDEX('Katalog Gaya'!$C$2:$C$254,MATCH("Grafis &amp; bentuk|"&amp;6,'Katalog Gaya'!$AB$2:$AB$254,0)),"")</f>
        <v/>
      </c>
      <c r="H35" s="5">
        <f>IFERROR(INDEX('Katalog Gaya'!$M$2:$M$254,MATCH("Grafis &amp; bentuk|"&amp;6,'Katalog Gaya'!$AB$2:$AB$254,0)),"")</f>
        <v/>
      </c>
      <c r="I35" s="5">
        <f>IFERROR(INDEX('Katalog Gaya'!$S$2:$S$254,MATCH("Grafis &amp; bentuk|"&amp;6,'Katalog Gaya'!$AB$2:$AB$254,0)),"")</f>
        <v/>
      </c>
      <c r="J35" s="9">
        <f>IFERROR(INDEX('Katalog Gaya'!$J$2:$J$254,MATCH("Grafis &amp; bentuk|"&amp;6,'Katalog Gaya'!$AB$2:$AB$254,0)),"")</f>
        <v/>
      </c>
    </row>
    <row r="36" ht="30" customHeight="1">
      <c r="A36" s="9" t="n">
        <v>7</v>
      </c>
      <c r="B36" s="11">
        <f>IFERROR(INDEX('Katalog Gaya'!$C$2:$C$254,MATCH("Tipografi|"&amp;7,'Katalog Gaya'!$AB$2:$AB$254,0)),"")</f>
        <v/>
      </c>
      <c r="C36" s="5">
        <f>IFERROR(INDEX('Katalog Gaya'!$M$2:$M$254,MATCH("Tipografi|"&amp;7,'Katalog Gaya'!$AB$2:$AB$254,0)),"")</f>
        <v/>
      </c>
      <c r="D36" s="5">
        <f>IFERROR(INDEX('Katalog Gaya'!$S$2:$S$254,MATCH("Tipografi|"&amp;7,'Katalog Gaya'!$AB$2:$AB$254,0)),"")</f>
        <v/>
      </c>
      <c r="E36" s="9">
        <f>IFERROR(INDEX('Katalog Gaya'!$J$2:$J$254,MATCH("Tipografi|"&amp;7,'Katalog Gaya'!$AB$2:$AB$254,0)),"")</f>
        <v/>
      </c>
      <c r="F36" s="9" t="n">
        <v>7</v>
      </c>
      <c r="G36" s="11">
        <f>IFERROR(INDEX('Katalog Gaya'!$C$2:$C$254,MATCH("Grafis &amp; bentuk|"&amp;7,'Katalog Gaya'!$AB$2:$AB$254,0)),"")</f>
        <v/>
      </c>
      <c r="H36" s="5">
        <f>IFERROR(INDEX('Katalog Gaya'!$M$2:$M$254,MATCH("Grafis &amp; bentuk|"&amp;7,'Katalog Gaya'!$AB$2:$AB$254,0)),"")</f>
        <v/>
      </c>
      <c r="I36" s="5">
        <f>IFERROR(INDEX('Katalog Gaya'!$S$2:$S$254,MATCH("Grafis &amp; bentuk|"&amp;7,'Katalog Gaya'!$AB$2:$AB$254,0)),"")</f>
        <v/>
      </c>
      <c r="J36" s="9">
        <f>IFERROR(INDEX('Katalog Gaya'!$J$2:$J$254,MATCH("Grafis &amp; bentuk|"&amp;7,'Katalog Gaya'!$AB$2:$AB$254,0)),"")</f>
        <v/>
      </c>
    </row>
    <row r="37" ht="30" customHeight="1">
      <c r="A37" s="9" t="n">
        <v>8</v>
      </c>
      <c r="B37" s="11">
        <f>IFERROR(INDEX('Katalog Gaya'!$C$2:$C$254,MATCH("Tipografi|"&amp;8,'Katalog Gaya'!$AB$2:$AB$254,0)),"")</f>
        <v/>
      </c>
      <c r="C37" s="5">
        <f>IFERROR(INDEX('Katalog Gaya'!$M$2:$M$254,MATCH("Tipografi|"&amp;8,'Katalog Gaya'!$AB$2:$AB$254,0)),"")</f>
        <v/>
      </c>
      <c r="D37" s="5">
        <f>IFERROR(INDEX('Katalog Gaya'!$S$2:$S$254,MATCH("Tipografi|"&amp;8,'Katalog Gaya'!$AB$2:$AB$254,0)),"")</f>
        <v/>
      </c>
      <c r="E37" s="9">
        <f>IFERROR(INDEX('Katalog Gaya'!$J$2:$J$254,MATCH("Tipografi|"&amp;8,'Katalog Gaya'!$AB$2:$AB$254,0)),"")</f>
        <v/>
      </c>
      <c r="F37" s="9" t="n">
        <v>8</v>
      </c>
      <c r="G37" s="11">
        <f>IFERROR(INDEX('Katalog Gaya'!$C$2:$C$254,MATCH("Grafis &amp; bentuk|"&amp;8,'Katalog Gaya'!$AB$2:$AB$254,0)),"")</f>
        <v/>
      </c>
      <c r="H37" s="5">
        <f>IFERROR(INDEX('Katalog Gaya'!$M$2:$M$254,MATCH("Grafis &amp; bentuk|"&amp;8,'Katalog Gaya'!$AB$2:$AB$254,0)),"")</f>
        <v/>
      </c>
      <c r="I37" s="5">
        <f>IFERROR(INDEX('Katalog Gaya'!$S$2:$S$254,MATCH("Grafis &amp; bentuk|"&amp;8,'Katalog Gaya'!$AB$2:$AB$254,0)),"")</f>
        <v/>
      </c>
      <c r="J37" s="9">
        <f>IFERROR(INDEX('Katalog Gaya'!$J$2:$J$254,MATCH("Grafis &amp; bentuk|"&amp;8,'Katalog Gaya'!$AB$2:$AB$254,0)),"")</f>
        <v/>
      </c>
    </row>
    <row r="38" ht="30" customHeight="1">
      <c r="A38" s="9" t="n">
        <v>9</v>
      </c>
      <c r="B38" s="11">
        <f>IFERROR(INDEX('Katalog Gaya'!$C$2:$C$254,MATCH("Tipografi|"&amp;9,'Katalog Gaya'!$AB$2:$AB$254,0)),"")</f>
        <v/>
      </c>
      <c r="C38" s="5">
        <f>IFERROR(INDEX('Katalog Gaya'!$M$2:$M$254,MATCH("Tipografi|"&amp;9,'Katalog Gaya'!$AB$2:$AB$254,0)),"")</f>
        <v/>
      </c>
      <c r="D38" s="5">
        <f>IFERROR(INDEX('Katalog Gaya'!$S$2:$S$254,MATCH("Tipografi|"&amp;9,'Katalog Gaya'!$AB$2:$AB$254,0)),"")</f>
        <v/>
      </c>
      <c r="E38" s="9">
        <f>IFERROR(INDEX('Katalog Gaya'!$J$2:$J$254,MATCH("Tipografi|"&amp;9,'Katalog Gaya'!$AB$2:$AB$254,0)),"")</f>
        <v/>
      </c>
      <c r="F38" s="9" t="n">
        <v>9</v>
      </c>
      <c r="G38" s="11">
        <f>IFERROR(INDEX('Katalog Gaya'!$C$2:$C$254,MATCH("Grafis &amp; bentuk|"&amp;9,'Katalog Gaya'!$AB$2:$AB$254,0)),"")</f>
        <v/>
      </c>
      <c r="H38" s="5">
        <f>IFERROR(INDEX('Katalog Gaya'!$M$2:$M$254,MATCH("Grafis &amp; bentuk|"&amp;9,'Katalog Gaya'!$AB$2:$AB$254,0)),"")</f>
        <v/>
      </c>
      <c r="I38" s="5">
        <f>IFERROR(INDEX('Katalog Gaya'!$S$2:$S$254,MATCH("Grafis &amp; bentuk|"&amp;9,'Katalog Gaya'!$AB$2:$AB$254,0)),"")</f>
        <v/>
      </c>
      <c r="J38" s="9">
        <f>IFERROR(INDEX('Katalog Gaya'!$J$2:$J$254,MATCH("Grafis &amp; bentuk|"&amp;9,'Katalog Gaya'!$AB$2:$AB$254,0)),"")</f>
        <v/>
      </c>
    </row>
    <row r="39" ht="30" customHeight="1">
      <c r="A39" s="9" t="n">
        <v>10</v>
      </c>
      <c r="B39" s="11">
        <f>IFERROR(INDEX('Katalog Gaya'!$C$2:$C$254,MATCH("Tipografi|"&amp;10,'Katalog Gaya'!$AB$2:$AB$254,0)),"")</f>
        <v/>
      </c>
      <c r="C39" s="5">
        <f>IFERROR(INDEX('Katalog Gaya'!$M$2:$M$254,MATCH("Tipografi|"&amp;10,'Katalog Gaya'!$AB$2:$AB$254,0)),"")</f>
        <v/>
      </c>
      <c r="D39" s="5">
        <f>IFERROR(INDEX('Katalog Gaya'!$S$2:$S$254,MATCH("Tipografi|"&amp;10,'Katalog Gaya'!$AB$2:$AB$254,0)),"")</f>
        <v/>
      </c>
      <c r="E39" s="9">
        <f>IFERROR(INDEX('Katalog Gaya'!$J$2:$J$254,MATCH("Tipografi|"&amp;10,'Katalog Gaya'!$AB$2:$AB$254,0)),"")</f>
        <v/>
      </c>
      <c r="F39" s="9" t="n">
        <v>10</v>
      </c>
      <c r="G39" s="11">
        <f>IFERROR(INDEX('Katalog Gaya'!$C$2:$C$254,MATCH("Grafis &amp; bentuk|"&amp;10,'Katalog Gaya'!$AB$2:$AB$254,0)),"")</f>
        <v/>
      </c>
      <c r="H39" s="5">
        <f>IFERROR(INDEX('Katalog Gaya'!$M$2:$M$254,MATCH("Grafis &amp; bentuk|"&amp;10,'Katalog Gaya'!$AB$2:$AB$254,0)),"")</f>
        <v/>
      </c>
      <c r="I39" s="5">
        <f>IFERROR(INDEX('Katalog Gaya'!$S$2:$S$254,MATCH("Grafis &amp; bentuk|"&amp;10,'Katalog Gaya'!$AB$2:$AB$254,0)),"")</f>
        <v/>
      </c>
      <c r="J39" s="9">
        <f>IFERROR(INDEX('Katalog Gaya'!$J$2:$J$254,MATCH("Grafis &amp; bentuk|"&amp;10,'Katalog Gaya'!$AB$2:$AB$254,0)),"")</f>
        <v/>
      </c>
    </row>
    <row r="41">
      <c r="A41" s="18" t="inlineStr">
        <is>
          <t>Dikerjakan pertama: GB05 · One-line art (satu garis tanpa putus) · video “Satu Garis” (64 dtk) — sudah dirakit, tinggal render.</t>
        </is>
      </c>
    </row>
  </sheetData>
  <mergeCells count="11">
    <mergeCell ref="C26:J26"/>
    <mergeCell ref="C21:J21"/>
    <mergeCell ref="D17:J17"/>
    <mergeCell ref="C25:J25"/>
    <mergeCell ref="C24:J24"/>
    <mergeCell ref="D16:J16"/>
    <mergeCell ref="C22:J22"/>
    <mergeCell ref="A2:J2"/>
    <mergeCell ref="D15:J15"/>
    <mergeCell ref="C23:J23"/>
    <mergeCell ref="A41:J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5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44" customWidth="1" min="4" max="4"/>
    <col width="12" customWidth="1" min="5" max="5"/>
    <col width="12" customWidth="1" min="6" max="6"/>
    <col width="9" customWidth="1" min="7" max="7"/>
    <col width="9" customWidth="1" min="8" max="8"/>
    <col width="10" customWidth="1" min="9" max="9"/>
    <col width="11" customWidth="1" min="10" max="10"/>
    <col width="11" customWidth="1" min="11" max="11"/>
    <col width="11" customWidth="1" min="12" max="12"/>
    <col width="32" customWidth="1" min="13" max="13"/>
    <col width="18" customWidth="1" min="14" max="14"/>
    <col width="50" customWidth="1" min="15" max="15"/>
    <col width="60" customWidth="1" min="16" max="16"/>
    <col width="9" customWidth="1" min="17" max="17"/>
    <col width="10" customWidth="1" min="18" max="18"/>
    <col width="26" customWidth="1" min="19" max="19"/>
    <col width="30" customWidth="1" min="20" max="20"/>
    <col width="34" customWidth="1" min="21" max="21"/>
    <col width="10" customWidth="1" min="22" max="22"/>
    <col width="26" customWidth="1" min="23" max="23"/>
    <col width="50" customWidth="1" min="24" max="24"/>
    <col width="40" customWidth="1" min="25" max="25"/>
    <col hidden="1" width="6" customWidth="1" min="26" max="26"/>
    <col hidden="1" width="6" customWidth="1" min="27" max="27"/>
    <col hidden="1" width="6" customWidth="1" min="28" max="28"/>
  </cols>
  <sheetData>
    <row r="1" ht="40" customHeight="1">
      <c r="A1" s="3" t="inlineStr">
        <is>
          <t>Kode</t>
        </is>
      </c>
      <c r="B1" s="3" t="inlineStr">
        <is>
          <t>Keluarga</t>
        </is>
      </c>
      <c r="C1" s="3" t="inlineStr">
        <is>
          <t>Gaya</t>
        </is>
      </c>
      <c r="D1" s="3" t="inlineStr">
        <is>
          <t>Tampilannya</t>
        </is>
      </c>
      <c r="E1" s="3" t="inlineStr">
        <is>
          <t>Status</t>
        </is>
      </c>
      <c r="F1" s="3" t="inlineStr">
        <is>
          <t>Dipakai di</t>
        </is>
      </c>
      <c r="G1" s="3" t="inlineStr">
        <is>
          <t>Upaya (1–5)</t>
        </is>
      </c>
      <c r="H1" s="3" t="inlineStr">
        <is>
          <t>Wow (1–10)</t>
        </is>
      </c>
      <c r="I1" s="3" t="inlineStr">
        <is>
          <t>Cocok merek (1–10)</t>
        </is>
      </c>
      <c r="J1" s="3" t="inlineStr">
        <is>
          <t>SKOR PRIORITAS</t>
        </is>
      </c>
      <c r="K1" s="3" t="inlineStr">
        <is>
          <t>Peringkat di keluarga</t>
        </is>
      </c>
      <c r="L1" s="3" t="inlineStr">
        <is>
          <t>Gelombang produksi</t>
        </is>
      </c>
      <c r="M1" s="3" t="inlineStr">
        <is>
          <t>Video usulan</t>
        </is>
      </c>
      <c r="N1" s="3" t="inlineStr">
        <is>
          <t>Jenis hook</t>
        </is>
      </c>
      <c r="O1" s="3" t="inlineStr">
        <is>
          <t>Hook (0–3 detik)</t>
        </is>
      </c>
      <c r="P1" s="3" t="inlineStr">
        <is>
          <t>Alur singkat</t>
        </is>
      </c>
      <c r="Q1" s="3" t="inlineStr">
        <is>
          <t>Meme %</t>
        </is>
      </c>
      <c r="R1" s="3" t="inlineStr">
        <is>
          <t>Edukasi %</t>
        </is>
      </c>
      <c r="S1" s="3" t="inlineStr">
        <is>
          <t>Komposisi</t>
        </is>
      </c>
      <c r="T1" s="3" t="inlineStr">
        <is>
          <t>Modul / fitur</t>
        </is>
      </c>
      <c r="U1" s="3" t="inlineStr">
        <is>
          <t>Aset layar (motion/assets/app)</t>
        </is>
      </c>
      <c r="V1" s="3" t="inlineStr">
        <is>
          <t>Durasi</t>
        </is>
      </c>
      <c r="W1" s="3" t="inlineStr">
        <is>
          <t>Sumber di plan</t>
        </is>
      </c>
      <c r="X1" s="3" t="inlineStr">
        <is>
          <t>Teknik (cara buat di mesin kita)</t>
        </is>
      </c>
      <c r="Y1" s="3" t="inlineStr">
        <is>
          <t>Catatan / risiko</t>
        </is>
      </c>
      <c r="Z1" s="3" t="inlineStr">
        <is>
          <t>siap</t>
        </is>
      </c>
      <c r="AA1" s="3" t="inlineStr">
        <is>
          <t>kunci skor</t>
        </is>
      </c>
      <c r="AB1" s="3" t="inlineStr">
        <is>
          <t>kunci peringkat</t>
        </is>
      </c>
    </row>
    <row r="2" ht="78" customHeight="1">
      <c r="A2" s="19" t="inlineStr">
        <is>
          <t>TY01</t>
        </is>
      </c>
      <c r="B2" s="20" t="inlineStr">
        <is>
          <t>Tipografi</t>
        </is>
      </c>
      <c r="C2" s="21" t="inlineStr">
        <is>
          <t>Kinetic typography (kamera menjelajah kanvas)</t>
        </is>
      </c>
      <c r="D2" s="20" t="inlineStr">
        <is>
          <t>Kata muncul tepat saat diucapkan; kamera geser-putar di satu kanvas besar, lalu mundur memperlihatkan semuanya.</t>
        </is>
      </c>
      <c r="E2" s="22" t="inlineStr">
        <is>
          <t>Sudah</t>
        </is>
      </c>
      <c r="F2" s="19" t="inlineStr">
        <is>
          <t>T02</t>
        </is>
      </c>
      <c r="G2" s="19" t="n">
        <v>4</v>
      </c>
      <c r="H2" s="19" t="n">
        <v>8</v>
      </c>
      <c r="I2" s="19" t="n">
        <v>9</v>
      </c>
      <c r="J2" s="23">
        <f>IF(E2="Tidak cocok","",ROUND(H2*W_GAYA_WOW+I2*W_GAYA_MEREK+(11-2*G2)*W_GAYA_MUDAH,1))</f>
        <v/>
      </c>
      <c r="K2" s="19">
        <f>IF(Z2=1,COUNTIFS($B$2:$B$254,B2,$AA$2:$AA$254,"&gt;"&amp;AA2)+1,"—")</f>
        <v/>
      </c>
      <c r="L2" s="19" t="n">
        <v>1</v>
      </c>
      <c r="M2" s="21" t="inlineStr">
        <is>
          <t>Jangan Tonton Video Ini</t>
        </is>
      </c>
      <c r="N2" s="19" t="inlineStr">
        <is>
          <t>Reverse psychology</t>
        </is>
      </c>
      <c r="O2" s="20" t="inlineStr">
        <is>
          <t>“Jangan tonton video ini… kalau perusahaanmu tidak menyimpan satu pun data pelanggan.”</t>
        </is>
      </c>
      <c r="P2" s="20" t="inlineStr">
        <is>
          <t>Hook → PP 33 &amp; sanksi 2% → “merasa aman” dicoret → RoPA, DPIA, DSR, insiden → kanvas utuh → CTA</t>
        </is>
      </c>
      <c r="Q2" s="24" t="n">
        <v>0.1</v>
      </c>
      <c r="R2" s="25">
        <f>IF(Q2="","",1-Q2)</f>
        <v/>
      </c>
      <c r="S2" s="20">
        <f>IF(Q2="","—",TEXT(1-Q2,"0%")&amp;" edukasi · "&amp;TEXT(Q2,"0%")&amp;" meme")</f>
        <v/>
      </c>
      <c r="T2" s="20" t="inlineStr">
        <is>
          <t>Platform</t>
        </is>
      </c>
      <c r="U2" s="20" t="inlineStr">
        <is>
          <t>—</t>
        </is>
      </c>
      <c r="V2" s="19" t="inlineStr">
        <is>
          <t>53,6 dtk</t>
        </is>
      </c>
      <c r="W2" s="20" t="inlineStr">
        <is>
          <t>T02 (sudah dirender)</t>
        </is>
      </c>
      <c r="X2" s="20" t="inlineStr">
        <is>
          <t>Blok teks di kanvas dunia; kamera per baris dari waktu VO; font variabel Archivo + Instrument Serif.</t>
        </is>
      </c>
      <c r="Y2" s="20" t="inlineStr"/>
      <c r="Z2" s="20">
        <f>IF(OR(E2="Bisa",E2="Berat"),1,0)</f>
        <v/>
      </c>
      <c r="AA2" s="20">
        <f>IF(Z2=1,J2-ROW()/100000,"")</f>
        <v/>
      </c>
      <c r="AB2" s="20">
        <f>B2&amp;"|"&amp;K2</f>
        <v/>
      </c>
    </row>
    <row r="3" ht="78" customHeight="1">
      <c r="A3" s="9" t="inlineStr">
        <is>
          <t>TY02</t>
        </is>
      </c>
      <c r="B3" s="5" t="inlineStr">
        <is>
          <t>Tipografi</t>
        </is>
      </c>
      <c r="C3" s="11" t="inlineStr">
        <is>
          <t>Stomp / beat-cut</t>
        </is>
      </c>
      <c r="D3" s="5" t="inlineStr">
        <is>
          <t>Kata raksasa menghentak di tiap ketukan stomp-stomp-clap; warna blok berganti keras.</t>
        </is>
      </c>
      <c r="E3" s="22" t="inlineStr">
        <is>
          <t>Sudah</t>
        </is>
      </c>
      <c r="F3" s="9" t="inlineStr">
        <is>
          <t>T01</t>
        </is>
      </c>
      <c r="G3" s="9" t="n">
        <v>4</v>
      </c>
      <c r="H3" s="9" t="n">
        <v>9</v>
      </c>
      <c r="I3" s="9" t="n">
        <v>8</v>
      </c>
      <c r="J3" s="26">
        <f>IF(E3="Tidak cocok","",ROUND(H3*W_GAYA_WOW+I3*W_GAYA_MEREK+(11-2*G3)*W_GAYA_MUDAH,1))</f>
        <v/>
      </c>
      <c r="K3" s="9">
        <f>IF(Z3=1,COUNTIFS($B$2:$B$254,B3,$AA$2:$AA$254,"&gt;"&amp;AA3)+1,"—")</f>
        <v/>
      </c>
      <c r="L3" s="9" t="n">
        <v>1</v>
      </c>
      <c r="M3" s="11" t="inlineStr">
        <is>
          <t>Satu Platform</t>
        </is>
      </c>
      <c r="N3" s="9" t="inlineStr">
        <is>
          <t>Anomali</t>
        </is>
      </c>
      <c r="O3" s="5" t="inlineStr">
        <is>
          <t>“12 spreadsheet. 7 folder. 3 grup chat. 1 DPO.”</t>
        </is>
      </c>
      <c r="P3" s="5" t="inlineStr">
        <is>
          <t>Hook → “Cukup. Saatnya rapi.” → 8 modul menghentak + screenshot asli → PP 33 → “Siap?” → CTA</t>
        </is>
      </c>
      <c r="Q3" s="24" t="n">
        <v>0.2</v>
      </c>
      <c r="R3" s="27">
        <f>IF(Q3="","",1-Q3)</f>
        <v/>
      </c>
      <c r="S3" s="5">
        <f>IF(Q3="","—",TEXT(1-Q3,"0%")&amp;" edukasi · "&amp;TEXT(Q3,"0%")&amp;" meme")</f>
        <v/>
      </c>
      <c r="T3" s="5" t="inlineStr">
        <is>
          <t>Platform</t>
        </is>
      </c>
      <c r="U3" s="5" t="inlineStr">
        <is>
          <t>ropa-list-baru, dpia-risiko, dsr-detail, consent-detail, breach-detail, gap-hasil, ai-agent-chat, dpo-academy</t>
        </is>
      </c>
      <c r="V3" s="9" t="inlineStr">
        <is>
          <t>38,2 dtk</t>
        </is>
      </c>
      <c r="W3" s="5" t="inlineStr">
        <is>
          <t>T01 (sudah dirender)</t>
        </is>
      </c>
      <c r="X3" s="5" t="inlineStr">
        <is>
          <t>Kartu per ketukan (durasi scene kelipatan birama), kilat di tiap clap, musik stomp disintesis.</t>
        </is>
      </c>
      <c r="Y3" s="5" t="inlineStr">
        <is>
          <t>Angka hook = hiperbola.</t>
        </is>
      </c>
      <c r="Z3" s="5">
        <f>IF(OR(E3="Bisa",E3="Berat"),1,0)</f>
        <v/>
      </c>
      <c r="AA3" s="5">
        <f>IF(Z3=1,J3-ROW()/100000,"")</f>
        <v/>
      </c>
      <c r="AB3" s="5">
        <f>B3&amp;"|"&amp;K3</f>
        <v/>
      </c>
    </row>
    <row r="4" ht="78" customHeight="1">
      <c r="A4" s="19" t="inlineStr">
        <is>
          <t>TY03</t>
        </is>
      </c>
      <c r="B4" s="20" t="inlineStr">
        <is>
          <t>Tipografi</t>
        </is>
      </c>
      <c r="C4" s="21" t="inlineStr">
        <is>
          <t>Split-flap (papan jadwal bandara)</t>
        </is>
      </c>
      <c r="D4" s="20" t="inlineStr">
        <is>
          <t>Huruf dan angka berputar seperti papan keberangkatan lama.</t>
        </is>
      </c>
      <c r="E4" s="22" t="inlineStr">
        <is>
          <t>Sudah</t>
        </is>
      </c>
      <c r="F4" s="19" t="inlineStr">
        <is>
          <t>N01</t>
        </is>
      </c>
      <c r="G4" s="19" t="n">
        <v>3</v>
      </c>
      <c r="H4" s="19" t="n">
        <v>8</v>
      </c>
      <c r="I4" s="19" t="n">
        <v>9</v>
      </c>
      <c r="J4" s="23">
        <f>IF(E4="Tidak cocok","",ROUND(H4*W_GAYA_WOW+I4*W_GAYA_MEREK+(11-2*G4)*W_GAYA_MUDAH,1))</f>
        <v/>
      </c>
      <c r="K4" s="19">
        <f>IF(Z4=1,COUNTIFS($B$2:$B$254,B4,$AA$2:$AA$254,"&gt;"&amp;AA4)+1,"—")</f>
        <v/>
      </c>
      <c r="L4" s="19" t="n">
        <v>1</v>
      </c>
      <c r="M4" s="21" t="inlineStr">
        <is>
          <t>Hitung mundur PP 33/2026</t>
        </is>
      </c>
      <c r="N4" s="19" t="inlineStr">
        <is>
          <t>Anomali</t>
        </is>
      </c>
      <c r="O4" s="20" t="inlineStr">
        <is>
          <t>Papan berputar menuju “16.01.2027”.</t>
        </is>
      </c>
      <c r="P4" s="20" t="inlineStr">
        <is>
          <t>Hitung mundur → kewajiban → program siap PP 33 → CTA</t>
        </is>
      </c>
      <c r="Q4" s="24" t="n">
        <v>0.1</v>
      </c>
      <c r="R4" s="25">
        <f>IF(Q4="","",1-Q4)</f>
        <v/>
      </c>
      <c r="S4" s="20">
        <f>IF(Q4="","—",TEXT(1-Q4,"0%")&amp;" edukasi · "&amp;TEXT(Q4,"0%")&amp;" meme")</f>
        <v/>
      </c>
      <c r="T4" s="20" t="inlineStr">
        <is>
          <t>Program siap PP 33</t>
        </is>
      </c>
      <c r="U4" s="20" t="inlineStr">
        <is>
          <t>—</t>
        </is>
      </c>
      <c r="V4" s="19" t="inlineStr">
        <is>
          <t>45 dtk</t>
        </is>
      </c>
      <c r="W4" s="20" t="inlineStr">
        <is>
          <t>N01 (sudah dirender)</t>
        </is>
      </c>
      <c r="X4" s="20" t="inlineStr">
        <is>
          <t>Kartu huruf rotateX dua belahan; bunyi flip per huruf.</t>
        </is>
      </c>
      <c r="Y4" s="20" t="inlineStr"/>
      <c r="Z4" s="20">
        <f>IF(OR(E4="Bisa",E4="Berat"),1,0)</f>
        <v/>
      </c>
      <c r="AA4" s="20">
        <f>IF(Z4=1,J4-ROW()/100000,"")</f>
        <v/>
      </c>
      <c r="AB4" s="20">
        <f>B4&amp;"|"&amp;K4</f>
        <v/>
      </c>
    </row>
    <row r="5" ht="78" customHeight="1">
      <c r="A5" s="9" t="inlineStr">
        <is>
          <t>TY04</t>
        </is>
      </c>
      <c r="B5" s="5" t="inlineStr">
        <is>
          <t>Tipografi</t>
        </is>
      </c>
      <c r="C5" s="11" t="inlineStr">
        <is>
          <t>Huruf guntingan + stempel (stop motion)</t>
        </is>
      </c>
      <c r="D5" s="5" t="inlineStr">
        <is>
          <t>Huruf potongan majalah ditempel satu-satu di papan gabus, stempel nilai dijatuhkan; gerak patah-patah 12 fps.</t>
        </is>
      </c>
      <c r="E5" s="22" t="inlineStr">
        <is>
          <t>Sudah</t>
        </is>
      </c>
      <c r="F5" s="9" t="inlineStr">
        <is>
          <t>T03</t>
        </is>
      </c>
      <c r="G5" s="9" t="n">
        <v>4</v>
      </c>
      <c r="H5" s="9" t="n">
        <v>9</v>
      </c>
      <c r="I5" s="9" t="n">
        <v>7</v>
      </c>
      <c r="J5" s="26">
        <f>IF(E5="Tidak cocok","",ROUND(H5*W_GAYA_WOW+I5*W_GAYA_MEREK+(11-2*G5)*W_GAYA_MUDAH,1))</f>
        <v/>
      </c>
      <c r="K5" s="9">
        <f>IF(Z5=1,COUNTIFS($B$2:$B$254,B5,$AA$2:$AA$254,"&gt;"&amp;AA5)+1,"—")</f>
        <v/>
      </c>
      <c r="L5" s="9" t="n">
        <v>1</v>
      </c>
      <c r="M5" s="11" t="inlineStr">
        <is>
          <t>Rating Kebiasaan Data di Kantor</t>
        </is>
      </c>
      <c r="N5" s="9" t="inlineStr">
        <is>
          <t>Relate</t>
        </is>
      </c>
      <c r="O5" s="5" t="inlineStr">
        <is>
          <t>“Rating kebiasaan data di kantor. Jujur, ya.”</t>
        </is>
      </c>
      <c r="P5" s="5" t="inlineStr">
        <is>
          <t>1/10, 2/10, 3/10, 0/10 → papan disapu bersih → kartu Nexus 10/10 → CTA</t>
        </is>
      </c>
      <c r="Q5" s="24" t="n">
        <v>0.7</v>
      </c>
      <c r="R5" s="27">
        <f>IF(Q5="","",1-Q5)</f>
        <v/>
      </c>
      <c r="S5" s="5">
        <f>IF(Q5="","—",TEXT(1-Q5,"0%")&amp;" edukasi · "&amp;TEXT(Q5,"0%")&amp;" meme")</f>
        <v/>
      </c>
      <c r="T5" s="5" t="inlineStr">
        <is>
          <t>RoPA, DSR, Insiden</t>
        </is>
      </c>
      <c r="U5" s="5" t="inlineStr">
        <is>
          <t>—</t>
        </is>
      </c>
      <c r="V5" s="9" t="inlineStr">
        <is>
          <t>51,4 dtk</t>
        </is>
      </c>
      <c r="W5" s="5" t="inlineStr">
        <is>
          <t>T03 / A19 (sudah dirender)</t>
        </is>
      </c>
      <c r="X5" s="5" t="inlineStr">
        <is>
          <t>Waktu dikuantisasi 12 fps, getar kecil per langkah, tekstur gabus dari hash.</t>
        </is>
      </c>
      <c r="Y5" s="5" t="inlineStr">
        <is>
          <t>Nilai = lelucon rating.</t>
        </is>
      </c>
      <c r="Z5" s="5">
        <f>IF(OR(E5="Bisa",E5="Berat"),1,0)</f>
        <v/>
      </c>
      <c r="AA5" s="5">
        <f>IF(Z5=1,J5-ROW()/100000,"")</f>
        <v/>
      </c>
      <c r="AB5" s="5">
        <f>B5&amp;"|"&amp;K5</f>
        <v/>
      </c>
    </row>
    <row r="6" ht="78" customHeight="1">
      <c r="A6" s="19" t="inlineStr">
        <is>
          <t>TY05</t>
        </is>
      </c>
      <c r="B6" s="20" t="inlineStr">
        <is>
          <t>Tipografi</t>
        </is>
      </c>
      <c r="C6" s="21" t="inlineStr">
        <is>
          <t>Mesin tik (typewriter)</t>
        </is>
      </c>
      <c r="D6" s="20" t="inlineStr">
        <is>
          <t>Kertas krem; huruf diketik satu-satu, bunyi “ting” di ujung baris, salah ketik ditimpa XXX.</t>
        </is>
      </c>
      <c r="E6" s="22" t="inlineStr">
        <is>
          <t>Sudah</t>
        </is>
      </c>
      <c r="F6" s="19" t="inlineStr">
        <is>
          <t>TY05</t>
        </is>
      </c>
      <c r="G6" s="19" t="n">
        <v>2</v>
      </c>
      <c r="H6" s="19" t="n">
        <v>7</v>
      </c>
      <c r="I6" s="19" t="n">
        <v>8</v>
      </c>
      <c r="J6" s="23">
        <f>IF(E6="Tidak cocok","",ROUND(H6*W_GAYA_WOW+I6*W_GAYA_MEREK+(11-2*G6)*W_GAYA_MUDAH,1))</f>
        <v/>
      </c>
      <c r="K6" s="19">
        <f>IF(Z6=1,COUNTIFS($B$2:$B$254,B6,$AA$2:$AA$254,"&gt;"&amp;AA6)+1,"—")</f>
        <v/>
      </c>
      <c r="L6" s="19" t="n">
        <v>1</v>
      </c>
      <c r="M6" s="21" t="inlineStr">
        <is>
          <t>Surat yang Hampir Dikirim DPO</t>
        </is>
      </c>
      <c r="N6" s="19" t="inlineStr">
        <is>
          <t>Relate</t>
        </is>
      </c>
      <c r="O6" s="20" t="inlineStr">
        <is>
          <t>“Dengan hormat, saya mengundurkan diri sebagai satu-satunya orang yang mengurus data pribadi di kantor ini.”</t>
        </is>
      </c>
      <c r="P6" s="20" t="inlineStr">
        <is>
          <t>Surat diketik → kalimat ditimpa XXX → diganti “…atau beri saya alat yang layak.” → antrean kerja &amp; dasbor → CTA</t>
        </is>
      </c>
      <c r="Q6" s="24" t="n">
        <v>0.3</v>
      </c>
      <c r="R6" s="25">
        <f>IF(Q6="","",1-Q6)</f>
        <v/>
      </c>
      <c r="S6" s="20">
        <f>IF(Q6="","—",TEXT(1-Q6,"0%")&amp;" edukasi · "&amp;TEXT(Q6,"0%")&amp;" meme")</f>
        <v/>
      </c>
      <c r="T6" s="20" t="inlineStr">
        <is>
          <t>Dukungan PPDP (antrean kerja, dasbor)</t>
        </is>
      </c>
      <c r="U6" s="20" t="inlineStr">
        <is>
          <t>dashboard</t>
        </is>
      </c>
      <c r="V6" s="19" t="inlineStr">
        <is>
          <t>20 dtk</t>
        </is>
      </c>
      <c r="W6" s="20" t="inlineStr">
        <is>
          <t>Baru (turunan M20)</t>
        </is>
      </c>
      <c r="X6" s="20" t="inlineStr">
        <is>
          <t>Huruf muncul per karakter (12–14 huruf/dtk), font Special Elite, kertas naik per baris; SFX key + ding.</t>
        </is>
      </c>
      <c r="Y6" s="20" t="inlineStr">
        <is>
          <t>Humor empati; jangan mengejek atasan.</t>
        </is>
      </c>
      <c r="Z6" s="20">
        <f>IF(OR(E6="Bisa",E6="Berat"),1,0)</f>
        <v/>
      </c>
      <c r="AA6" s="20">
        <f>IF(Z6=1,J6-ROW()/100000,"")</f>
        <v/>
      </c>
      <c r="AB6" s="20">
        <f>B6&amp;"|"&amp;K6</f>
        <v/>
      </c>
    </row>
    <row r="7" ht="78" customHeight="1">
      <c r="A7" s="9" t="inlineStr">
        <is>
          <t>TY06</t>
        </is>
      </c>
      <c r="B7" s="5" t="inlineStr">
        <is>
          <t>Tipografi</t>
        </is>
      </c>
      <c r="C7" s="11" t="inlineStr">
        <is>
          <t>Terminal / command line</t>
        </is>
      </c>
      <c r="D7" s="5" t="inlineStr">
        <is>
          <t>Layar hitam, huruf monospace; perintah diketik, hasil muncul baris demi baris.</t>
        </is>
      </c>
      <c r="E7" s="22" t="inlineStr">
        <is>
          <t>Sudah</t>
        </is>
      </c>
      <c r="F7" s="9" t="inlineStr">
        <is>
          <t>TY06</t>
        </is>
      </c>
      <c r="G7" s="9" t="n">
        <v>2</v>
      </c>
      <c r="H7" s="9" t="n">
        <v>7</v>
      </c>
      <c r="I7" s="9" t="n">
        <v>7</v>
      </c>
      <c r="J7" s="26">
        <f>IF(E7="Tidak cocok","",ROUND(H7*W_GAYA_WOW+I7*W_GAYA_MEREK+(11-2*G7)*W_GAYA_MUDAH,1))</f>
        <v/>
      </c>
      <c r="K7" s="9">
        <f>IF(Z7=1,COUNTIFS($B$2:$B$254,B7,$AA$2:$AA$254,"&gt;"&amp;AA7)+1,"—")</f>
        <v/>
      </c>
      <c r="L7" s="9" t="n">
        <v>1</v>
      </c>
      <c r="M7" s="11" t="inlineStr">
        <is>
          <t>cari --nama "rina"</t>
        </is>
      </c>
      <c r="N7" s="9" t="inlineStr">
        <is>
          <t>Anomali</t>
        </is>
      </c>
      <c r="O7" s="5" t="inlineStr">
        <is>
          <t>“Ketik nama satu pelanggan. Di berapa sistem datanya tersimpan?”</t>
        </is>
      </c>
      <c r="P7" s="5" t="inlineStr">
        <is>
          <t>Perintah cari diketik → hasil terus bertambah (CRM, email, CS, arsip) → “yang kamu tahu: 2” → Data Discovery menemukan &amp; mengaitkan ke RoPA → CTA</t>
        </is>
      </c>
      <c r="Q7" s="24" t="n">
        <v>0.5</v>
      </c>
      <c r="R7" s="27">
        <f>IF(Q7="","",1-Q7)</f>
        <v/>
      </c>
      <c r="S7" s="5">
        <f>IF(Q7="","—",TEXT(1-Q7,"0%")&amp;" edukasi · "&amp;TEXT(Q7,"0%")&amp;" meme")</f>
        <v/>
      </c>
      <c r="T7" s="5" t="inlineStr">
        <is>
          <t>Data Discovery (pencarian data satu subjek untuk DSR)</t>
        </is>
      </c>
      <c r="U7" s="5" t="inlineStr">
        <is>
          <t>—</t>
        </is>
      </c>
      <c r="V7" s="9" t="inlineStr">
        <is>
          <t>20 dtk</t>
        </is>
      </c>
      <c r="W7" s="5" t="inlineStr">
        <is>
          <t>A38 / P15</t>
        </is>
      </c>
      <c r="X7" s="5" t="inlineStr">
        <is>
          <t>Ketik per karakter + kursor blok berkedip; keluaran per baris; scanline tipis; SFX key/tick.</t>
        </is>
      </c>
      <c r="Y7" s="5" t="inlineStr">
        <is>
          <t>Jumlah sistem = ilustrasi.</t>
        </is>
      </c>
      <c r="Z7" s="5">
        <f>IF(OR(E7="Bisa",E7="Berat"),1,0)</f>
        <v/>
      </c>
      <c r="AA7" s="5">
        <f>IF(Z7=1,J7-ROW()/100000,"")</f>
        <v/>
      </c>
      <c r="AB7" s="5">
        <f>B7&amp;"|"&amp;K7</f>
        <v/>
      </c>
    </row>
    <row r="8" ht="78" customHeight="1">
      <c r="A8" s="19" t="inlineStr">
        <is>
          <t>TY07</t>
        </is>
      </c>
      <c r="B8" s="20" t="inlineStr">
        <is>
          <t>Tipografi</t>
        </is>
      </c>
      <c r="C8" s="21" t="inlineStr">
        <is>
          <t>Editor kode (syntax highlight)</t>
        </is>
      </c>
      <c r="D8" s="20" t="inlineStr">
        <is>
          <t>Editor gelap dengan warna sintaks; baris kode ditulis, satu baris disorot.</t>
        </is>
      </c>
      <c r="E8" s="22" t="inlineStr">
        <is>
          <t>Sudah</t>
        </is>
      </c>
      <c r="F8" s="19" t="inlineStr">
        <is>
          <t>TY07</t>
        </is>
      </c>
      <c r="G8" s="19" t="n">
        <v>2</v>
      </c>
      <c r="H8" s="19" t="n">
        <v>6</v>
      </c>
      <c r="I8" s="19" t="n">
        <v>7</v>
      </c>
      <c r="J8" s="23">
        <f>IF(E8="Tidak cocok","",ROUND(H8*W_GAYA_WOW+I8*W_GAYA_MEREK+(11-2*G8)*W_GAYA_MUDAH,1))</f>
        <v/>
      </c>
      <c r="K8" s="19">
        <f>IF(Z8=1,COUNTIFS($B$2:$B$254,B8,$AA$2:$AA$254,"&gt;"&amp;AA8)+1,"—")</f>
        <v/>
      </c>
      <c r="L8" s="19" t="n">
        <v>1</v>
      </c>
      <c r="M8" s="21" t="inlineStr">
        <is>
          <t>Satu Baris yang Sering Dilupakan</t>
        </is>
      </c>
      <c r="N8" s="19" t="inlineStr">
        <is>
          <t>Logika dipatahkan</t>
        </is>
      </c>
      <c r="O8" s="20" t="inlineStr">
        <is>
          <t>“Tombol ‘Setuju’ itu satu baris kode. Buktinya ada di baris mana?”</t>
        </is>
      </c>
      <c r="P8" s="20" t="inlineStr">
        <is>
          <t>onClick=setuju() diketik → komentar “// lalu buktinya?” → baris API persetujuan + webhook → log persetujuan tampil → CTA</t>
        </is>
      </c>
      <c r="Q8" s="24" t="n">
        <v>0.5</v>
      </c>
      <c r="R8" s="25">
        <f>IF(Q8="","",1-Q8)</f>
        <v/>
      </c>
      <c r="S8" s="20">
        <f>IF(Q8="","—",TEXT(1-Q8,"0%")&amp;" edukasi · "&amp;TEXT(Q8,"0%")&amp;" meme")</f>
        <v/>
      </c>
      <c r="T8" s="20" t="inlineStr">
        <is>
          <t>Consent (API, webhook, log bukti)</t>
        </is>
      </c>
      <c r="U8" s="20" t="inlineStr">
        <is>
          <t>consent-detail</t>
        </is>
      </c>
      <c r="V8" s="19" t="inlineStr">
        <is>
          <t>15 dtk</t>
        </is>
      </c>
      <c r="W8" s="20" t="inlineStr">
        <is>
          <t>M08 (sudut developer)</t>
        </is>
      </c>
      <c r="X8" s="20" t="inlineStr">
        <is>
          <t>Span berwarna per token, ketik per karakter, nomor baris, sorot baris + komentar muncul.</t>
        </is>
      </c>
      <c r="Y8" s="20" t="inlineStr">
        <is>
          <t>Kode = ilustrasi, bukan dokumentasi API.</t>
        </is>
      </c>
      <c r="Z8" s="20">
        <f>IF(OR(E8="Bisa",E8="Berat"),1,0)</f>
        <v/>
      </c>
      <c r="AA8" s="20">
        <f>IF(Z8=1,J8-ROW()/100000,"")</f>
        <v/>
      </c>
      <c r="AB8" s="20">
        <f>B8&amp;"|"&amp;K8</f>
        <v/>
      </c>
    </row>
    <row r="9" ht="78" customHeight="1">
      <c r="A9" s="9" t="inlineStr">
        <is>
          <t>TY08</t>
        </is>
      </c>
      <c r="B9" s="5" t="inlineStr">
        <is>
          <t>Tipografi</t>
        </is>
      </c>
      <c r="C9" s="11" t="inlineStr">
        <is>
          <t>Text mask (layar di dalam huruf)</t>
        </is>
      </c>
      <c r="D9" s="5" t="inlineStr">
        <is>
          <t>Huruf raksasa memenuhi layar; layar aplikasi asli terlihat di dalam badan huruf.</t>
        </is>
      </c>
      <c r="E9" s="22" t="inlineStr">
        <is>
          <t>Sudah</t>
        </is>
      </c>
      <c r="F9" s="9" t="inlineStr">
        <is>
          <t>TY08</t>
        </is>
      </c>
      <c r="G9" s="9" t="n">
        <v>2</v>
      </c>
      <c r="H9" s="9" t="n">
        <v>8</v>
      </c>
      <c r="I9" s="9" t="n">
        <v>9</v>
      </c>
      <c r="J9" s="26">
        <f>IF(E9="Tidak cocok","",ROUND(H9*W_GAYA_WOW+I9*W_GAYA_MEREK+(11-2*G9)*W_GAYA_MUDAH,1))</f>
        <v/>
      </c>
      <c r="K9" s="9">
        <f>IF(Z9=1,COUNTIFS($B$2:$B$254,B9,$AA$2:$AA$254,"&gt;"&amp;AA9)+1,"—")</f>
        <v/>
      </c>
      <c r="L9" s="9" t="n">
        <v>1</v>
      </c>
      <c r="M9" s="11" t="inlineStr">
        <is>
          <t>Ada Apa di Dalam Empat Huruf Ini?</t>
        </is>
      </c>
      <c r="N9" s="9" t="inlineStr">
        <is>
          <t>Anomali</t>
        </is>
      </c>
      <c r="O9" s="5" t="inlineStr">
        <is>
          <t>“RoPA. Empat huruf. Isinya: semua yang kantormu lakukan terhadap data pribadi.”</t>
        </is>
      </c>
      <c r="P9" s="5" t="inlineStr">
        <is>
          <t>RoPA raksasa → masuk ke huruf O → register RoPA asli → DPIA &amp; DSR dengan cara sama → CTA</t>
        </is>
      </c>
      <c r="Q9" s="24" t="n">
        <v>0.2</v>
      </c>
      <c r="R9" s="27">
        <f>IF(Q9="","",1-Q9)</f>
        <v/>
      </c>
      <c r="S9" s="5">
        <f>IF(Q9="","—",TEXT(1-Q9,"0%")&amp;" edukasi · "&amp;TEXT(Q9,"0%")&amp;" meme")</f>
        <v/>
      </c>
      <c r="T9" s="5" t="inlineStr">
        <is>
          <t>RoPA, DPIA, DSR</t>
        </is>
      </c>
      <c r="U9" s="5" t="inlineStr">
        <is>
          <t>ropa-list-baru, dpia-risiko, dsr-detail</t>
        </is>
      </c>
      <c r="V9" s="9" t="inlineStr">
        <is>
          <t>20 dtk</t>
        </is>
      </c>
      <c r="W9" s="5" t="inlineStr">
        <is>
          <t>Baru (turunan M04)</t>
        </is>
      </c>
      <c r="X9" s="5" t="inlineStr">
        <is>
          <t>background-clip: text dengan screenshot sebagai latar; kamera mendekat sampai huruf jadi jendela.</t>
        </is>
      </c>
      <c r="Y9" s="5" t="inlineStr"/>
      <c r="Z9" s="5">
        <f>IF(OR(E9="Bisa",E9="Berat"),1,0)</f>
        <v/>
      </c>
      <c r="AA9" s="5">
        <f>IF(Z9=1,J9-ROW()/100000,"")</f>
        <v/>
      </c>
      <c r="AB9" s="5">
        <f>B9&amp;"|"&amp;K9</f>
        <v/>
      </c>
    </row>
    <row r="10" ht="78" customHeight="1">
      <c r="A10" s="19" t="inlineStr">
        <is>
          <t>TY09</t>
        </is>
      </c>
      <c r="B10" s="20" t="inlineStr">
        <is>
          <t>Tipografi</t>
        </is>
      </c>
      <c r="C10" s="21" t="inlineStr">
        <is>
          <t>Liquid / huruf meleleh</t>
        </is>
      </c>
      <c r="D10" s="20" t="inlineStr">
        <is>
          <t>Huruf tebal meleleh, menetes, dan bergelombang seperti lilin.</t>
        </is>
      </c>
      <c r="E10" s="22" t="inlineStr">
        <is>
          <t>Sudah</t>
        </is>
      </c>
      <c r="F10" s="19" t="inlineStr">
        <is>
          <t>TY09</t>
        </is>
      </c>
      <c r="G10" s="19" t="n">
        <v>3</v>
      </c>
      <c r="H10" s="19" t="n">
        <v>8</v>
      </c>
      <c r="I10" s="19" t="n">
        <v>7</v>
      </c>
      <c r="J10" s="23">
        <f>IF(E10="Tidak cocok","",ROUND(H10*W_GAYA_WOW+I10*W_GAYA_MEREK+(11-2*G10)*W_GAYA_MUDAH,1))</f>
        <v/>
      </c>
      <c r="K10" s="19">
        <f>IF(Z10=1,COUNTIFS($B$2:$B$254,B10,$AA$2:$AA$254,"&gt;"&amp;AA10)+1,"—")</f>
        <v/>
      </c>
      <c r="L10" s="19" t="n">
        <v>1</v>
      </c>
      <c r="M10" s="21" t="inlineStr">
        <is>
          <t>72 Jam yang Meleleh</t>
        </is>
      </c>
      <c r="N10" s="19" t="inlineStr">
        <is>
          <t>Relate</t>
        </is>
      </c>
      <c r="O10" s="20" t="inlineStr">
        <is>
          <t>“72 jam itu cepat. Apalagi kalau dihitung manual.”</t>
        </is>
      </c>
      <c r="P10" s="20" t="inlineStr">
        <is>
          <t>Angka 72 JAM utuh → meleleh saat email bolak-balik → membeku jadi pil tenggat otomatis → CTA</t>
        </is>
      </c>
      <c r="Q10" s="24" t="n">
        <v>0.5</v>
      </c>
      <c r="R10" s="25">
        <f>IF(Q10="","",1-Q10)</f>
        <v/>
      </c>
      <c r="S10" s="20">
        <f>IF(Q10="","—",TEXT(1-Q10,"0%")&amp;" edukasi · "&amp;TEXT(Q10,"0%")&amp;" meme")</f>
        <v/>
      </c>
      <c r="T10" s="20" t="inlineStr">
        <is>
          <t>DSR (tenggat otomatis 72 jam)</t>
        </is>
      </c>
      <c r="U10" s="20" t="inlineStr">
        <is>
          <t>dsr-detail</t>
        </is>
      </c>
      <c r="V10" s="19" t="inlineStr">
        <is>
          <t>15 dtk</t>
        </is>
      </c>
      <c r="W10" s="20" t="inlineStr">
        <is>
          <t>M07 / P06</t>
        </is>
      </c>
      <c r="X10" s="20" t="inlineStr">
        <is>
          <t>Filter SVG feTurbulence + feDisplacementMap dengan skala naik; tetesan dari elemen goo.</t>
        </is>
      </c>
      <c r="Y10" s="20" t="inlineStr"/>
      <c r="Z10" s="20">
        <f>IF(OR(E10="Bisa",E10="Berat"),1,0)</f>
        <v/>
      </c>
      <c r="AA10" s="20">
        <f>IF(Z10=1,J10-ROW()/100000,"")</f>
        <v/>
      </c>
      <c r="AB10" s="20">
        <f>B10&amp;"|"&amp;K10</f>
        <v/>
      </c>
    </row>
    <row r="11" ht="78" customHeight="1">
      <c r="A11" s="9" t="inlineStr">
        <is>
          <t>TY10</t>
        </is>
      </c>
      <c r="B11" s="5" t="inlineStr">
        <is>
          <t>Tipografi</t>
        </is>
      </c>
      <c r="C11" s="11" t="inlineStr">
        <is>
          <t>Glitch / RGB split</t>
        </is>
      </c>
      <c r="D11" s="5" t="inlineStr">
        <is>
          <t>Huruf pecah jadi kanal merah-hijau-biru, bergeser, berkedip seperti sinyal rusak.</t>
        </is>
      </c>
      <c r="E11" s="22" t="inlineStr">
        <is>
          <t>Sudah</t>
        </is>
      </c>
      <c r="F11" s="9" t="inlineStr">
        <is>
          <t>TY10</t>
        </is>
      </c>
      <c r="G11" s="9" t="n">
        <v>2</v>
      </c>
      <c r="H11" s="9" t="n">
        <v>7</v>
      </c>
      <c r="I11" s="9" t="n">
        <v>7</v>
      </c>
      <c r="J11" s="26">
        <f>IF(E11="Tidak cocok","",ROUND(H11*W_GAYA_WOW+I11*W_GAYA_MEREK+(11-2*G11)*W_GAYA_MUDAH,1))</f>
        <v/>
      </c>
      <c r="K11" s="9">
        <f>IF(Z11=1,COUNTIFS($B$2:$B$254,B11,$AA$2:$AA$254,"&gt;"&amp;AA11)+1,"—")</f>
        <v/>
      </c>
      <c r="L11" s="9" t="n">
        <v>1</v>
      </c>
      <c r="M11" s="11" t="inlineStr">
        <is>
          <t>03.00</t>
        </is>
      </c>
      <c r="N11" s="9" t="inlineStr">
        <is>
          <t>Anomali</t>
        </is>
      </c>
      <c r="O11" s="5" t="inlineStr">
        <is>
          <t>“Jam 03.00. Tulisan ini muncul di layar: dugaan kebocoran data.”</t>
        </is>
      </c>
      <c r="P11" s="5" t="inlineStr">
        <is>
          <t>Teks glitch → penghitung 3×24 jam mulai → daftar periksa penahanan muncul rapi (glitch hilang) → CTA</t>
        </is>
      </c>
      <c r="Q11" s="24" t="n">
        <v>0.5</v>
      </c>
      <c r="R11" s="27">
        <f>IF(Q11="","",1-Q11)</f>
        <v/>
      </c>
      <c r="S11" s="5">
        <f>IF(Q11="","—",TEXT(1-Q11,"0%")&amp;" edukasi · "&amp;TEXT(Q11,"0%")&amp;" meme")</f>
        <v/>
      </c>
      <c r="T11" s="5" t="inlineStr">
        <is>
          <t>Manajemen Insiden</t>
        </is>
      </c>
      <c r="U11" s="5" t="inlineStr">
        <is>
          <t>breach-detail</t>
        </is>
      </c>
      <c r="V11" s="9" t="inlineStr">
        <is>
          <t>15 dtk</t>
        </is>
      </c>
      <c r="W11" s="5" t="inlineStr">
        <is>
          <t>M11 / P03</t>
        </is>
      </c>
      <c r="X11" s="5" t="inlineStr">
        <is>
          <t>Tiga salinan teks berwarna dengan offset dari hash per frame; potongan clip-path deterministik.</t>
        </is>
      </c>
      <c r="Y11" s="5" t="inlineStr"/>
      <c r="Z11" s="5">
        <f>IF(OR(E11="Bisa",E11="Berat"),1,0)</f>
        <v/>
      </c>
      <c r="AA11" s="5">
        <f>IF(Z11=1,J11-ROW()/100000,"")</f>
        <v/>
      </c>
      <c r="AB11" s="5">
        <f>B11&amp;"|"&amp;K11</f>
        <v/>
      </c>
    </row>
    <row r="12" ht="78" customHeight="1">
      <c r="A12" s="19" t="inlineStr">
        <is>
          <t>TY11</t>
        </is>
      </c>
      <c r="B12" s="20" t="inlineStr">
        <is>
          <t>Tipografi</t>
        </is>
      </c>
      <c r="C12" s="21" t="inlineStr">
        <is>
          <t>Font variabel “bernapas”</t>
        </is>
      </c>
      <c r="D12" s="20" t="inlineStr">
        <is>
          <t>Satu kata menebal, melebar, lalu menipis mengikuti emosi kalimat.</t>
        </is>
      </c>
      <c r="E12" s="22" t="inlineStr">
        <is>
          <t>Sudah</t>
        </is>
      </c>
      <c r="F12" s="19" t="inlineStr">
        <is>
          <t>TY11</t>
        </is>
      </c>
      <c r="G12" s="19" t="n">
        <v>2</v>
      </c>
      <c r="H12" s="19" t="n">
        <v>7</v>
      </c>
      <c r="I12" s="19" t="n">
        <v>8</v>
      </c>
      <c r="J12" s="23">
        <f>IF(E12="Tidak cocok","",ROUND(H12*W_GAYA_WOW+I12*W_GAYA_MEREK+(11-2*G12)*W_GAYA_MUDAH,1))</f>
        <v/>
      </c>
      <c r="K12" s="19">
        <f>IF(Z12=1,COUNTIFS($B$2:$B$254,B12,$AA$2:$AA$254,"&gt;"&amp;AA12)+1,"—")</f>
        <v/>
      </c>
      <c r="L12" s="19" t="n">
        <v>1</v>
      </c>
      <c r="M12" s="21" t="inlineStr">
        <is>
          <t>Minggu Depan Ya</t>
        </is>
      </c>
      <c r="N12" s="19" t="inlineStr">
        <is>
          <t>Relate</t>
        </is>
      </c>
      <c r="O12" s="20" t="inlineStr">
        <is>
          <t>“Begini rasanya saat auditor bilang: ‘minggu depan ya’.”</t>
        </is>
      </c>
      <c r="P12" s="20" t="inlineStr">
        <is>
          <t>Kata AUDIT tipis → makin tebal &amp; sesak tiap hari → satu klik ekspor laporan kepatuhan → kata kembali lega → CTA</t>
        </is>
      </c>
      <c r="Q12" s="24" t="n">
        <v>0.3</v>
      </c>
      <c r="R12" s="25">
        <f>IF(Q12="","",1-Q12)</f>
        <v/>
      </c>
      <c r="S12" s="20">
        <f>IF(Q12="","—",TEXT(1-Q12,"0%")&amp;" edukasi · "&amp;TEXT(Q12,"0%")&amp;" meme")</f>
        <v/>
      </c>
      <c r="T12" s="20" t="inlineStr">
        <is>
          <t>Dasbor kepatuhan, GAP Assessment</t>
        </is>
      </c>
      <c r="U12" s="20" t="inlineStr">
        <is>
          <t>dashboard, gap-hasil</t>
        </is>
      </c>
      <c r="V12" s="19" t="inlineStr">
        <is>
          <t>15 dtk</t>
        </is>
      </c>
      <c r="W12" s="20" t="inlineStr">
        <is>
          <t>Baru (turunan M01)</t>
        </is>
      </c>
      <c r="X12" s="20" t="inlineStr">
        <is>
          <t>Font variabel (Archivo wght 100–900, wdth 62–125) dianimasikan per frame dari waktu.</t>
        </is>
      </c>
      <c r="Y12" s="20" t="inlineStr"/>
      <c r="Z12" s="20">
        <f>IF(OR(E12="Bisa",E12="Berat"),1,0)</f>
        <v/>
      </c>
      <c r="AA12" s="20">
        <f>IF(Z12=1,J12-ROW()/100000,"")</f>
        <v/>
      </c>
      <c r="AB12" s="20">
        <f>B12&amp;"|"&amp;K12</f>
        <v/>
      </c>
    </row>
    <row r="13" ht="78" customHeight="1">
      <c r="A13" s="9" t="inlineStr">
        <is>
          <t>TY12</t>
        </is>
      </c>
      <c r="B13" s="5" t="inlineStr">
        <is>
          <t>Tipografi</t>
        </is>
      </c>
      <c r="C13" s="11" t="inlineStr">
        <is>
          <t>Elastis (huruf karet)</t>
        </is>
      </c>
      <c r="D13" s="5" t="inlineStr">
        <is>
          <t>Huruf ditarik memanjang seperti karet lalu memantul kembali.</t>
        </is>
      </c>
      <c r="E13" s="22" t="inlineStr">
        <is>
          <t>Sudah</t>
        </is>
      </c>
      <c r="F13" s="9" t="inlineStr">
        <is>
          <t>TY12</t>
        </is>
      </c>
      <c r="G13" s="9" t="n">
        <v>2</v>
      </c>
      <c r="H13" s="9" t="n">
        <v>6</v>
      </c>
      <c r="I13" s="9" t="n">
        <v>7</v>
      </c>
      <c r="J13" s="26">
        <f>IF(E13="Tidak cocok","",ROUND(H13*W_GAYA_WOW+I13*W_GAYA_MEREK+(11-2*G13)*W_GAYA_MUDAH,1))</f>
        <v/>
      </c>
      <c r="K13" s="9">
        <f>IF(Z13=1,COUNTIFS($B$2:$B$254,B13,$AA$2:$AA$254,"&gt;"&amp;AA13)+1,"—")</f>
        <v/>
      </c>
      <c r="L13" s="9" t="n">
        <v>1</v>
      </c>
      <c r="M13" s="11" t="inlineStr">
        <is>
          <t>Yang Tidak Bisa Ditarik</t>
        </is>
      </c>
      <c r="N13" s="9" t="inlineStr">
        <is>
          <t>Logika dipatahkan</t>
        </is>
      </c>
      <c r="O13" s="5" t="inlineStr">
        <is>
          <t>“Tenggat proyek bisa ditarik-tarik. 3×24 jam tidak.”</t>
        </is>
      </c>
      <c r="P13" s="5" t="inlineStr">
        <is>
          <t>Kata TENGGAT ditarik berkali-kali → kata 3×24 JAM tidak bergerak → penghitung mundur insiden → CTA</t>
        </is>
      </c>
      <c r="Q13" s="24" t="n">
        <v>0.5</v>
      </c>
      <c r="R13" s="27">
        <f>IF(Q13="","",1-Q13)</f>
        <v/>
      </c>
      <c r="S13" s="5">
        <f>IF(Q13="","—",TEXT(1-Q13,"0%")&amp;" edukasi · "&amp;TEXT(Q13,"0%")&amp;" meme")</f>
        <v/>
      </c>
      <c r="T13" s="5" t="inlineStr">
        <is>
          <t>Manajemen Insiden (penghitung mundur 3×24 jam)</t>
        </is>
      </c>
      <c r="U13" s="5" t="inlineStr">
        <is>
          <t>breach-detail</t>
        </is>
      </c>
      <c r="V13" s="9" t="inlineStr">
        <is>
          <t>10 dtk</t>
        </is>
      </c>
      <c r="W13" s="5" t="inlineStr">
        <is>
          <t>P30 (varian)</t>
        </is>
      </c>
      <c r="X13" s="5" t="inlineStr">
        <is>
          <t>scaleX/scaleY dengan easing elastis, titik tumpu di sisi huruf.</t>
        </is>
      </c>
      <c r="Y13" s="5" t="inlineStr"/>
      <c r="Z13" s="5">
        <f>IF(OR(E13="Bisa",E13="Berat"),1,0)</f>
        <v/>
      </c>
      <c r="AA13" s="5">
        <f>IF(Z13=1,J13-ROW()/100000,"")</f>
        <v/>
      </c>
      <c r="AB13" s="5">
        <f>B13&amp;"|"&amp;K13</f>
        <v/>
      </c>
    </row>
    <row r="14" ht="78" customHeight="1">
      <c r="A14" s="19" t="inlineStr">
        <is>
          <t>TY13</t>
        </is>
      </c>
      <c r="B14" s="20" t="inlineStr">
        <is>
          <t>Tipografi</t>
        </is>
      </c>
      <c r="C14" s="21" t="inlineStr">
        <is>
          <t>Marquee brutalist (teks berjalan bertumpuk)</t>
        </is>
      </c>
      <c r="D14" s="20" t="inlineStr">
        <is>
          <t>Baris-baris teks raksasa berjalan berlawanan arah, memenuhi layar.</t>
        </is>
      </c>
      <c r="E14" s="22" t="inlineStr">
        <is>
          <t>Sudah</t>
        </is>
      </c>
      <c r="F14" s="19" t="inlineStr">
        <is>
          <t>TY13</t>
        </is>
      </c>
      <c r="G14" s="19" t="n">
        <v>1</v>
      </c>
      <c r="H14" s="19" t="n">
        <v>7</v>
      </c>
      <c r="I14" s="19" t="n">
        <v>7</v>
      </c>
      <c r="J14" s="23">
        <f>IF(E14="Tidak cocok","",ROUND(H14*W_GAYA_WOW+I14*W_GAYA_MEREK+(11-2*G14)*W_GAYA_MUDAH,1))</f>
        <v/>
      </c>
      <c r="K14" s="19">
        <f>IF(Z14=1,COUNTIFS($B$2:$B$254,B14,$AA$2:$AA$254,"&gt;"&amp;AA14)+1,"—")</f>
        <v/>
      </c>
      <c r="L14" s="19" t="n">
        <v>1</v>
      </c>
      <c r="M14" s="21" t="inlineStr">
        <is>
          <t>Yang Mana Punyamu?</t>
        </is>
      </c>
      <c r="N14" s="19" t="inlineStr">
        <is>
          <t>Anomali</t>
        </is>
      </c>
      <c r="O14" s="20" t="inlineStr">
        <is>
          <t>“Semua tulisan ini kewajiban. Yang mana yang sudah kamu kerjakan?”</t>
        </is>
      </c>
      <c r="P14" s="20" t="inlineStr">
        <is>
          <t>Pita kewajiban berjalan (catat pemrosesan · nilai risiko · jawab permohonan · lapor insiden) → berhenti &amp; dicentang satu-satu → CTA</t>
        </is>
      </c>
      <c r="Q14" s="24" t="n">
        <v>0.5</v>
      </c>
      <c r="R14" s="25">
        <f>IF(Q14="","",1-Q14)</f>
        <v/>
      </c>
      <c r="S14" s="20">
        <f>IF(Q14="","—",TEXT(1-Q14,"0%")&amp;" edukasi · "&amp;TEXT(Q14,"0%")&amp;" meme")</f>
        <v/>
      </c>
      <c r="T14" s="20" t="inlineStr">
        <is>
          <t>Platform, Paparan Sanksi</t>
        </is>
      </c>
      <c r="U14" s="20" t="inlineStr">
        <is>
          <t>—</t>
        </is>
      </c>
      <c r="V14" s="19" t="inlineStr">
        <is>
          <t>15 dtk</t>
        </is>
      </c>
      <c r="W14" s="20" t="inlineStr">
        <is>
          <t>Baru</t>
        </is>
      </c>
      <c r="X14" s="20" t="inlineStr">
        <is>
          <t>Beberapa pita teks translateX berkecepatan beda; satu pita berhenti dan disorot.</t>
        </is>
      </c>
      <c r="Y14" s="20" t="inlineStr"/>
      <c r="Z14" s="20">
        <f>IF(OR(E14="Bisa",E14="Berat"),1,0)</f>
        <v/>
      </c>
      <c r="AA14" s="20">
        <f>IF(Z14=1,J14-ROW()/100000,"")</f>
        <v/>
      </c>
      <c r="AB14" s="20">
        <f>B14&amp;"|"&amp;K14</f>
        <v/>
      </c>
    </row>
    <row r="15" ht="78" customHeight="1">
      <c r="A15" s="9" t="inlineStr">
        <is>
          <t>TY14</t>
        </is>
      </c>
      <c r="B15" s="5" t="inlineStr">
        <is>
          <t>Tipografi</t>
        </is>
      </c>
      <c r="C15" s="11" t="inlineStr">
        <is>
          <t>Papan LED berjalan</t>
        </is>
      </c>
      <c r="D15" s="5" t="inlineStr">
        <is>
          <t>Papan LED titik-titik merah/kuning seperti di depan toko; teks berjalan.</t>
        </is>
      </c>
      <c r="E15" s="22" t="inlineStr">
        <is>
          <t>Sudah</t>
        </is>
      </c>
      <c r="F15" s="9" t="inlineStr">
        <is>
          <t>TY14</t>
        </is>
      </c>
      <c r="G15" s="9" t="n">
        <v>3</v>
      </c>
      <c r="H15" s="9" t="n">
        <v>8</v>
      </c>
      <c r="I15" s="9" t="n">
        <v>7</v>
      </c>
      <c r="J15" s="26">
        <f>IF(E15="Tidak cocok","",ROUND(H15*W_GAYA_WOW+I15*W_GAYA_MEREK+(11-2*G15)*W_GAYA_MUDAH,1))</f>
        <v/>
      </c>
      <c r="K15" s="9">
        <f>IF(Z15=1,COUNTIFS($B$2:$B$254,B15,$AA$2:$AA$254,"&gt;"&amp;AA15)+1,"—")</f>
        <v/>
      </c>
      <c r="L15" s="9" t="n">
        <v>1</v>
      </c>
      <c r="M15" s="11" t="inlineStr">
        <is>
          <t>Buka 24 Jam</t>
        </is>
      </c>
      <c r="N15" s="9" t="inlineStr">
        <is>
          <t>Relate</t>
        </is>
      </c>
      <c r="O15" s="5" t="inlineStr">
        <is>
          <t>“Kalau permohonan hak subjek data punya papan LED: BUKA 24 JAM.”</t>
        </is>
      </c>
      <c r="P15" s="5" t="inlineStr">
        <is>
          <t>Papan LED: “TERIMA PERMOHONAN HAPUS DATA” → “TENGGAT 72 JAM” menghitung → formulir DSR asli → CTA</t>
        </is>
      </c>
      <c r="Q15" s="24" t="n">
        <v>0.5</v>
      </c>
      <c r="R15" s="27">
        <f>IF(Q15="","",1-Q15)</f>
        <v/>
      </c>
      <c r="S15" s="5">
        <f>IF(Q15="","—",TEXT(1-Q15,"0%")&amp;" edukasi · "&amp;TEXT(Q15,"0%")&amp;" meme")</f>
        <v/>
      </c>
      <c r="T15" s="5" t="inlineStr">
        <is>
          <t>DSR (formulir tersemat, tenggat 72 jam)</t>
        </is>
      </c>
      <c r="U15" s="5" t="inlineStr">
        <is>
          <t>dsr-form</t>
        </is>
      </c>
      <c r="V15" s="9" t="inlineStr">
        <is>
          <t>15 dtk</t>
        </is>
      </c>
      <c r="W15" s="5" t="inlineStr">
        <is>
          <t>M07 (varian lokal)</t>
        </is>
      </c>
      <c r="X15" s="5" t="inlineStr">
        <is>
          <t>Kisi titik (canvas) menyala sesuai bitmap huruf, bergeser per kolom; pendar lembut.</t>
        </is>
      </c>
      <c r="Y15" s="5" t="inlineStr"/>
      <c r="Z15" s="5">
        <f>IF(OR(E15="Bisa",E15="Berat"),1,0)</f>
        <v/>
      </c>
      <c r="AA15" s="5">
        <f>IF(Z15=1,J15-ROW()/100000,"")</f>
        <v/>
      </c>
      <c r="AB15" s="5">
        <f>B15&amp;"|"&amp;K15</f>
        <v/>
      </c>
    </row>
    <row r="16" ht="78" customHeight="1">
      <c r="A16" s="19" t="inlineStr">
        <is>
          <t>TY15</t>
        </is>
      </c>
      <c r="B16" s="20" t="inlineStr">
        <is>
          <t>Tipografi</t>
        </is>
      </c>
      <c r="C16" s="21" t="inlineStr">
        <is>
          <t>Angka digital / odometer</t>
        </is>
      </c>
      <c r="D16" s="20" t="inlineStr">
        <is>
          <t>Angka tujuh-segmen atau odometer yang terus berputar.</t>
        </is>
      </c>
      <c r="E16" s="22" t="inlineStr">
        <is>
          <t>Sudah</t>
        </is>
      </c>
      <c r="F16" s="19" t="inlineStr">
        <is>
          <t>TY15</t>
        </is>
      </c>
      <c r="G16" s="19" t="n">
        <v>2</v>
      </c>
      <c r="H16" s="19" t="n">
        <v>6</v>
      </c>
      <c r="I16" s="19" t="n">
        <v>8</v>
      </c>
      <c r="J16" s="23">
        <f>IF(E16="Tidak cocok","",ROUND(H16*W_GAYA_WOW+I16*W_GAYA_MEREK+(11-2*G16)*W_GAYA_MUDAH,1))</f>
        <v/>
      </c>
      <c r="K16" s="19">
        <f>IF(Z16=1,COUNTIFS($B$2:$B$254,B16,$AA$2:$AA$254,"&gt;"&amp;AA16)+1,"—")</f>
        <v/>
      </c>
      <c r="L16" s="19" t="n">
        <v>1</v>
      </c>
      <c r="M16" s="21" t="inlineStr">
        <is>
          <t>Angka yang Mulai Berjalan</t>
        </is>
      </c>
      <c r="N16" s="19" t="inlineStr">
        <is>
          <t>Anomali</t>
        </is>
      </c>
      <c r="O16" s="20" t="inlineStr">
        <is>
          <t>“Angka ini mulai berjalan begitu insiden dicatat.”</t>
        </is>
      </c>
      <c r="P16" s="20" t="inlineStr">
        <is>
          <t>72:00:00 mulai turun → tugas fase 1 tercentang satu-satu → templat pemberitahuan → CTA</t>
        </is>
      </c>
      <c r="Q16" s="24" t="n">
        <v>0.3</v>
      </c>
      <c r="R16" s="25">
        <f>IF(Q16="","",1-Q16)</f>
        <v/>
      </c>
      <c r="S16" s="20">
        <f>IF(Q16="","—",TEXT(1-Q16,"0%")&amp;" edukasi · "&amp;TEXT(Q16,"0%")&amp;" meme")</f>
        <v/>
      </c>
      <c r="T16" s="20" t="inlineStr">
        <is>
          <t>Manajemen Insiden</t>
        </is>
      </c>
      <c r="U16" s="20" t="inlineStr">
        <is>
          <t>breach-fase, breach-aksi</t>
        </is>
      </c>
      <c r="V16" s="19" t="inlineStr">
        <is>
          <t>15 dtk</t>
        </is>
      </c>
      <c r="W16" s="20" t="inlineStr">
        <is>
          <t>P30</t>
        </is>
      </c>
      <c r="X16" s="20" t="inlineStr">
        <is>
          <t>Digit bergulir vertikal (translateY) dari nilai waktu; segmen menyala lewat kelas.</t>
        </is>
      </c>
      <c r="Y16" s="20" t="inlineStr"/>
      <c r="Z16" s="20">
        <f>IF(OR(E16="Bisa",E16="Berat"),1,0)</f>
        <v/>
      </c>
      <c r="AA16" s="20">
        <f>IF(Z16=1,J16-ROW()/100000,"")</f>
        <v/>
      </c>
      <c r="AB16" s="20">
        <f>B16&amp;"|"&amp;K16</f>
        <v/>
      </c>
    </row>
    <row r="17" ht="78" customHeight="1">
      <c r="A17" s="9" t="inlineStr">
        <is>
          <t>TY16</t>
        </is>
      </c>
      <c r="B17" s="5" t="inlineStr">
        <is>
          <t>Tipografi</t>
        </is>
      </c>
      <c r="C17" s="11" t="inlineStr">
        <is>
          <t>Karaoke / lyric video</t>
        </is>
      </c>
      <c r="D17" s="5" t="inlineStr">
        <is>
          <t>Lirik di layar; bola kecil memantul di atas kata yang sedang dinyanyikan.</t>
        </is>
      </c>
      <c r="E17" s="22" t="inlineStr">
        <is>
          <t>Sudah</t>
        </is>
      </c>
      <c r="F17" s="9" t="inlineStr">
        <is>
          <t>TY16</t>
        </is>
      </c>
      <c r="G17" s="9" t="n">
        <v>2</v>
      </c>
      <c r="H17" s="9" t="n">
        <v>7</v>
      </c>
      <c r="I17" s="9" t="n">
        <v>6</v>
      </c>
      <c r="J17" s="26">
        <f>IF(E17="Tidak cocok","",ROUND(H17*W_GAYA_WOW+I17*W_GAYA_MEREK+(11-2*G17)*W_GAYA_MUDAH,1))</f>
        <v/>
      </c>
      <c r="K17" s="9">
        <f>IF(Z17=1,COUNTIFS($B$2:$B$254,B17,$AA$2:$AA$254,"&gt;"&amp;AA17)+1,"—")</f>
        <v/>
      </c>
      <c r="L17" s="9" t="n">
        <v>1</v>
      </c>
      <c r="M17" s="11" t="inlineStr">
        <is>
          <t>Lagu Wajib Rapat Kepatuhan</t>
        </is>
      </c>
      <c r="N17" s="9" t="inlineStr">
        <is>
          <t>Relate</t>
        </is>
      </c>
      <c r="O17" s="5" t="inlineStr">
        <is>
          <t>“Nyanyikan bersama: ‘Datanya di mana? Di cloud.’”</t>
        </is>
      </c>
      <c r="P17" s="5" t="inlineStr">
        <is>
          <t>Bait 1: “Di cloud” → bait 2: “Cloud-nya di negara mana?” (hening) → register transfer lintas negara → CTA</t>
        </is>
      </c>
      <c r="Q17" s="24" t="n">
        <v>0.7</v>
      </c>
      <c r="R17" s="27">
        <f>IF(Q17="","",1-Q17)</f>
        <v/>
      </c>
      <c r="S17" s="5">
        <f>IF(Q17="","—",TEXT(1-Q17,"0%")&amp;" edukasi · "&amp;TEXT(Q17,"0%")&amp;" meme")</f>
        <v/>
      </c>
      <c r="T17" s="5" t="inlineStr">
        <is>
          <t>Transfer Data Lintas Negara (TIA)</t>
        </is>
      </c>
      <c r="U17" s="5" t="inlineStr">
        <is>
          <t>—</t>
        </is>
      </c>
      <c r="V17" s="9" t="inlineStr">
        <is>
          <t>20 dtk</t>
        </is>
      </c>
      <c r="W17" s="5" t="inlineStr">
        <is>
          <t>M14 / A34</t>
        </is>
      </c>
      <c r="X17" s="5" t="inlineStr">
        <is>
          <t>Sorot per kata dari timing VO; bola mengikuti parabola antar kata.</t>
        </is>
      </c>
      <c r="Y17" s="5" t="inlineStr">
        <is>
          <t>Melodi orisinal (synth), bukan lagu yang sudah ada.</t>
        </is>
      </c>
      <c r="Z17" s="5">
        <f>IF(OR(E17="Bisa",E17="Berat"),1,0)</f>
        <v/>
      </c>
      <c r="AA17" s="5">
        <f>IF(Z17=1,J17-ROW()/100000,"")</f>
        <v/>
      </c>
      <c r="AB17" s="5">
        <f>B17&amp;"|"&amp;K17</f>
        <v/>
      </c>
    </row>
    <row r="18" ht="78" customHeight="1">
      <c r="A18" s="19" t="inlineStr">
        <is>
          <t>TY17</t>
        </is>
      </c>
      <c r="B18" s="20" t="inlineStr">
        <is>
          <t>Tipografi</t>
        </is>
      </c>
      <c r="C18" s="21" t="inlineStr">
        <is>
          <t>Satu kata per layar</t>
        </is>
      </c>
      <c r="D18" s="20" t="inlineStr">
        <is>
          <t>Satu kata besar di tengah, berganti cepat mengikuti suara.</t>
        </is>
      </c>
      <c r="E18" s="22" t="inlineStr">
        <is>
          <t>Sudah</t>
        </is>
      </c>
      <c r="F18" s="19" t="inlineStr">
        <is>
          <t>TY17</t>
        </is>
      </c>
      <c r="G18" s="19" t="n">
        <v>1</v>
      </c>
      <c r="H18" s="19" t="n">
        <v>6</v>
      </c>
      <c r="I18" s="19" t="n">
        <v>8</v>
      </c>
      <c r="J18" s="23">
        <f>IF(E18="Tidak cocok","",ROUND(H18*W_GAYA_WOW+I18*W_GAYA_MEREK+(11-2*G18)*W_GAYA_MUDAH,1))</f>
        <v/>
      </c>
      <c r="K18" s="19">
        <f>IF(Z18=1,COUNTIFS($B$2:$B$254,B18,$AA$2:$AA$254,"&gt;"&amp;AA18)+1,"—")</f>
        <v/>
      </c>
      <c r="L18" s="19" t="n">
        <v>1</v>
      </c>
      <c r="M18" s="21" t="inlineStr">
        <is>
          <t>Patuh Bukan Perasaan</t>
        </is>
      </c>
      <c r="N18" s="19" t="inlineStr">
        <is>
          <t>Logika dipatahkan</t>
        </is>
      </c>
      <c r="O18" s="20" t="inlineStr">
        <is>
          <t>“Patuh. Bukan. Perasaan.”</t>
        </is>
      </c>
      <c r="P18" s="20" t="inlineStr">
        <is>
          <t>Tiga kata → “Ukur.” → skor GAP 81% asli → CTA Start Pre Check</t>
        </is>
      </c>
      <c r="Q18" s="24" t="n">
        <v>0.3</v>
      </c>
      <c r="R18" s="25">
        <f>IF(Q18="","",1-Q18)</f>
        <v/>
      </c>
      <c r="S18" s="20">
        <f>IF(Q18="","—",TEXT(1-Q18,"0%")&amp;" edukasi · "&amp;TEXT(Q18,"0%")&amp;" meme")</f>
        <v/>
      </c>
      <c r="T18" s="20" t="inlineStr">
        <is>
          <t>GAP Assessment</t>
        </is>
      </c>
      <c r="U18" s="20" t="inlineStr">
        <is>
          <t>gap-hasil</t>
        </is>
      </c>
      <c r="V18" s="19" t="inlineStr">
        <is>
          <t>5–10 dtk</t>
        </is>
      </c>
      <c r="W18" s="20" t="inlineStr">
        <is>
          <t>P01</t>
        </is>
      </c>
      <c r="X18" s="20" t="inlineStr">
        <is>
          <t>Ganti kata tepat di waktu ucapan; huruf tengah diberi warna sebagai titik fokus.</t>
        </is>
      </c>
      <c r="Y18" s="20" t="inlineStr">
        <is>
          <t>Skor 81% = data demo di screenshot.</t>
        </is>
      </c>
      <c r="Z18" s="20">
        <f>IF(OR(E18="Bisa",E18="Berat"),1,0)</f>
        <v/>
      </c>
      <c r="AA18" s="20">
        <f>IF(Z18=1,J18-ROW()/100000,"")</f>
        <v/>
      </c>
      <c r="AB18" s="20">
        <f>B18&amp;"|"&amp;K18</f>
        <v/>
      </c>
    </row>
    <row r="19" ht="78" customHeight="1">
      <c r="A19" s="9" t="inlineStr">
        <is>
          <t>TY18</t>
        </is>
      </c>
      <c r="B19" s="5" t="inlineStr">
        <is>
          <t>Tipografi</t>
        </is>
      </c>
      <c r="C19" s="11" t="inlineStr">
        <is>
          <t>Text scramble / decode</t>
        </is>
      </c>
      <c r="D19" s="5" t="inlineStr">
        <is>
          <t>Huruf berputar acak lalu “terkunci” satu per satu menjadi kata yang benar.</t>
        </is>
      </c>
      <c r="E19" s="22" t="inlineStr">
        <is>
          <t>Sudah</t>
        </is>
      </c>
      <c r="F19" s="9" t="inlineStr">
        <is>
          <t>TY18</t>
        </is>
      </c>
      <c r="G19" s="9" t="n">
        <v>2</v>
      </c>
      <c r="H19" s="9" t="n">
        <v>8</v>
      </c>
      <c r="I19" s="9" t="n">
        <v>8</v>
      </c>
      <c r="J19" s="26">
        <f>IF(E19="Tidak cocok","",ROUND(H19*W_GAYA_WOW+I19*W_GAYA_MEREK+(11-2*G19)*W_GAYA_MUDAH,1))</f>
        <v/>
      </c>
      <c r="K19" s="9">
        <f>IF(Z19=1,COUNTIFS($B$2:$B$254,B19,$AA$2:$AA$254,"&gt;"&amp;AA19)+1,"—")</f>
        <v/>
      </c>
      <c r="L19" s="9" t="n">
        <v>1</v>
      </c>
      <c r="M19" s="11" t="inlineStr">
        <is>
          <t>kol_17</t>
        </is>
      </c>
      <c r="N19" s="9" t="inlineStr">
        <is>
          <t>Anomali</t>
        </is>
      </c>
      <c r="O19" s="5" t="inlineStr">
        <is>
          <t>“Kolom bernama ‘kol_17’ ini ternyata berisi NIK.”</t>
        </is>
      </c>
      <c r="P19" s="5" t="inlineStr">
        <is>
          <t>Nama kolom acak → terurai jadi NIK, no. HP, email → ditandai data pribadi umum/spesifik → dikaitkan ke RoPA → CTA</t>
        </is>
      </c>
      <c r="Q19" s="24" t="n">
        <v>0.3</v>
      </c>
      <c r="R19" s="27">
        <f>IF(Q19="","",1-Q19)</f>
        <v/>
      </c>
      <c r="S19" s="5">
        <f>IF(Q19="","—",TEXT(1-Q19,"0%")&amp;" edukasi · "&amp;TEXT(Q19,"0%")&amp;" meme")</f>
        <v/>
      </c>
      <c r="T19" s="5" t="inlineStr">
        <is>
          <t>Data Discovery (pemindaian kolom)</t>
        </is>
      </c>
      <c r="U19" s="5" t="inlineStr">
        <is>
          <t>—</t>
        </is>
      </c>
      <c r="V19" s="9" t="inlineStr">
        <is>
          <t>15 dtk</t>
        </is>
      </c>
      <c r="W19" s="5" t="inlineStr">
        <is>
          <t>M15 / P15</t>
        </is>
      </c>
      <c r="X19" s="5" t="inlineStr">
        <is>
          <t>Tiap posisi huruf mengacak dari hash sampai waktu kuncinya; warna berubah saat terkunci.</t>
        </is>
      </c>
      <c r="Y19" s="5" t="inlineStr">
        <is>
          <t>Nama kolom = ilustrasi.</t>
        </is>
      </c>
      <c r="Z19" s="5">
        <f>IF(OR(E19="Bisa",E19="Berat"),1,0)</f>
        <v/>
      </c>
      <c r="AA19" s="5">
        <f>IF(Z19=1,J19-ROW()/100000,"")</f>
        <v/>
      </c>
      <c r="AB19" s="5">
        <f>B19&amp;"|"&amp;K19</f>
        <v/>
      </c>
    </row>
    <row r="20" ht="78" customHeight="1">
      <c r="A20" s="19" t="inlineStr">
        <is>
          <t>TY19</t>
        </is>
      </c>
      <c r="B20" s="20" t="inlineStr">
        <is>
          <t>Tipografi</t>
        </is>
      </c>
      <c r="C20" s="21" t="inlineStr">
        <is>
          <t>Redaksi (sensor hitam)</t>
        </is>
      </c>
      <c r="D20" s="20" t="inlineStr">
        <is>
          <t>Dokumen dengan balok hitam menutupi kata; balok bergeser membuka atau menutup.</t>
        </is>
      </c>
      <c r="E20" s="22" t="inlineStr">
        <is>
          <t>Sudah</t>
        </is>
      </c>
      <c r="F20" s="19" t="inlineStr">
        <is>
          <t>TY19</t>
        </is>
      </c>
      <c r="G20" s="19" t="n">
        <v>1</v>
      </c>
      <c r="H20" s="19" t="n">
        <v>7</v>
      </c>
      <c r="I20" s="19" t="n">
        <v>8</v>
      </c>
      <c r="J20" s="23">
        <f>IF(E20="Tidak cocok","",ROUND(H20*W_GAYA_WOW+I20*W_GAYA_MEREK+(11-2*G20)*W_GAYA_MUDAH,1))</f>
        <v/>
      </c>
      <c r="K20" s="19">
        <f>IF(Z20=1,COUNTIFS($B$2:$B$254,B20,$AA$2:$AA$254,"&gt;"&amp;AA20)+1,"—")</f>
        <v/>
      </c>
      <c r="L20" s="19" t="n">
        <v>1</v>
      </c>
      <c r="M20" s="21" t="inlineStr">
        <is>
          <t>Siapa yang Terakhir Membuka?</t>
        </is>
      </c>
      <c r="N20" s="19" t="inlineStr">
        <is>
          <t>Anomali</t>
        </is>
      </c>
      <c r="O20" s="20" t="inlineStr">
        <is>
          <t>“Siapa yang terakhir membuka data ini? ████████.”</t>
        </is>
      </c>
      <c r="P20" s="20" t="inlineStr">
        <is>
          <t>Kalimat dengan nama tertutup balok → balok terbuka: peran + waktu → log audit manusia &amp; AI → CTA</t>
        </is>
      </c>
      <c r="Q20" s="24" t="n">
        <v>0.3</v>
      </c>
      <c r="R20" s="25">
        <f>IF(Q20="","",1-Q20)</f>
        <v/>
      </c>
      <c r="S20" s="20">
        <f>IF(Q20="","—",TEXT(1-Q20,"0%")&amp;" edukasi · "&amp;TEXT(Q20,"0%")&amp;" meme")</f>
        <v/>
      </c>
      <c r="T20" s="20" t="inlineStr">
        <is>
          <t>Log audit (platform)</t>
        </is>
      </c>
      <c r="U20" s="20" t="inlineStr">
        <is>
          <t>—</t>
        </is>
      </c>
      <c r="V20" s="19" t="inlineStr">
        <is>
          <t>15 dtk</t>
        </is>
      </c>
      <c r="W20" s="20" t="inlineStr">
        <is>
          <t>A42</t>
        </is>
      </c>
      <c r="X20" s="20" t="inlineStr">
        <is>
          <t>Balok scaleX di atas teks; urutan buka mengikuti VO.</t>
        </is>
      </c>
      <c r="Y20" s="20" t="inlineStr"/>
      <c r="Z20" s="20">
        <f>IF(OR(E20="Bisa",E20="Berat"),1,0)</f>
        <v/>
      </c>
      <c r="AA20" s="20">
        <f>IF(Z20=1,J20-ROW()/100000,"")</f>
        <v/>
      </c>
      <c r="AB20" s="20">
        <f>B20&amp;"|"&amp;K20</f>
        <v/>
      </c>
    </row>
    <row r="21" ht="78" customHeight="1">
      <c r="A21" s="9" t="inlineStr">
        <is>
          <t>TY20</t>
        </is>
      </c>
      <c r="B21" s="5" t="inlineStr">
        <is>
          <t>Tipografi</t>
        </is>
      </c>
      <c r="C21" s="11" t="inlineStr">
        <is>
          <t>Stabilo pada pasal</t>
        </is>
      </c>
      <c r="D21" s="5" t="inlineStr">
        <is>
          <t>Teks pasal di kertas; stabilo kuning menyapu frasa penting.</t>
        </is>
      </c>
      <c r="E21" s="22" t="inlineStr">
        <is>
          <t>Sudah</t>
        </is>
      </c>
      <c r="F21" s="9" t="inlineStr">
        <is>
          <t>TY20</t>
        </is>
      </c>
      <c r="G21" s="9" t="n">
        <v>1</v>
      </c>
      <c r="H21" s="9" t="n">
        <v>6</v>
      </c>
      <c r="I21" s="9" t="n">
        <v>9</v>
      </c>
      <c r="J21" s="26">
        <f>IF(E21="Tidak cocok","",ROUND(H21*W_GAYA_WOW+I21*W_GAYA_MEREK+(11-2*G21)*W_GAYA_MUDAH,1))</f>
        <v/>
      </c>
      <c r="K21" s="9">
        <f>IF(Z21=1,COUNTIFS($B$2:$B$254,B21,$AA$2:$AA$254,"&gt;"&amp;AA21)+1,"—")</f>
        <v/>
      </c>
      <c r="L21" s="9" t="n">
        <v>1</v>
      </c>
      <c r="M21" s="11" t="inlineStr">
        <is>
          <t>AI yang Tidak Mengarang Pasal</t>
        </is>
      </c>
      <c r="N21" s="9" t="inlineStr">
        <is>
          <t>Logika dipatahkan</t>
        </is>
      </c>
      <c r="O21" s="5" t="inlineStr">
        <is>
          <t>“AI terbaik untuk DPO bukan yang paling kreatif. Tapi yang tidak mengarang pasal.”</t>
        </is>
      </c>
      <c r="P21" s="5" t="inlineStr">
        <is>
          <t>Jawaban AI → bunyi pasal disorot stabilo: diambil dari knowledge base → hasil bisa disunting konsultan → CTA</t>
        </is>
      </c>
      <c r="Q21" s="24" t="n">
        <v>0.2</v>
      </c>
      <c r="R21" s="27">
        <f>IF(Q21="","",1-Q21)</f>
        <v/>
      </c>
      <c r="S21" s="5">
        <f>IF(Q21="","—",TEXT(1-Q21,"0%")&amp;" edukasi · "&amp;TEXT(Q21,"0%")&amp;" meme")</f>
        <v/>
      </c>
      <c r="T21" s="5" t="inlineStr">
        <is>
          <t>Telaah Kebijakan, Priva</t>
        </is>
      </c>
      <c r="U21" s="5" t="inlineStr">
        <is>
          <t>ai-agent-chat, policy-review</t>
        </is>
      </c>
      <c r="V21" s="9" t="inlineStr">
        <is>
          <t>20 dtk</t>
        </is>
      </c>
      <c r="W21" s="5" t="inlineStr">
        <is>
          <t>M19 / P18 / A35</t>
        </is>
      </c>
      <c r="X21" s="5" t="inlineStr">
        <is>
          <t>Latar kuning scaleX di belakang frasa, tepi tidak rata (SVG), mengikuti kata VO.</t>
        </is>
      </c>
      <c r="Y21" s="5" t="inlineStr">
        <is>
          <t>Kutip pasal persis; cek ulang bunyinya.</t>
        </is>
      </c>
      <c r="Z21" s="5">
        <f>IF(OR(E21="Bisa",E21="Berat"),1,0)</f>
        <v/>
      </c>
      <c r="AA21" s="5">
        <f>IF(Z21=1,J21-ROW()/100000,"")</f>
        <v/>
      </c>
      <c r="AB21" s="5">
        <f>B21&amp;"|"&amp;K21</f>
        <v/>
      </c>
    </row>
    <row r="22" ht="78" customHeight="1">
      <c r="A22" s="19" t="inlineStr">
        <is>
          <t>TY21</t>
        </is>
      </c>
      <c r="B22" s="20" t="inlineStr">
        <is>
          <t>Tipografi</t>
        </is>
      </c>
      <c r="C22" s="21" t="inlineStr">
        <is>
          <t>Coret &amp; tulis ulang (koreksi editor)</t>
        </is>
      </c>
      <c r="D22" s="20" t="inlineStr">
        <is>
          <t>Naskah diketik, dicoret tinta merah, ditulis ulang di atasnya.</t>
        </is>
      </c>
      <c r="E22" s="22" t="inlineStr">
        <is>
          <t>Sudah</t>
        </is>
      </c>
      <c r="F22" s="19" t="inlineStr">
        <is>
          <t>TY21</t>
        </is>
      </c>
      <c r="G22" s="19" t="n">
        <v>2</v>
      </c>
      <c r="H22" s="19" t="n">
        <v>7</v>
      </c>
      <c r="I22" s="19" t="n">
        <v>8</v>
      </c>
      <c r="J22" s="23">
        <f>IF(E22="Tidak cocok","",ROUND(H22*W_GAYA_WOW+I22*W_GAYA_MEREK+(11-2*G22)*W_GAYA_MUDAH,1))</f>
        <v/>
      </c>
      <c r="K22" s="19">
        <f>IF(Z22=1,COUNTIFS($B$2:$B$254,B22,$AA$2:$AA$254,"&gt;"&amp;AA22)+1,"—")</f>
        <v/>
      </c>
      <c r="L22" s="19" t="n">
        <v>1</v>
      </c>
      <c r="M22" s="21" t="inlineStr">
        <is>
          <t>Lebih Tua dari Undang-undangnya</t>
        </is>
      </c>
      <c r="N22" s="19" t="inlineStr">
        <is>
          <t>Anomali</t>
        </is>
      </c>
      <c r="O22" s="20" t="inlineStr">
        <is>
          <t>“Kebijakan privasi di situsmu mungkin lebih tua dari UU PDP.”</t>
        </is>
      </c>
      <c r="P22" s="20" t="inlineStr">
        <is>
          <t>Halaman kebijakan “diperbarui 2019” → coretan merah per bab → temuan &amp; rekomendasi → CTA</t>
        </is>
      </c>
      <c r="Q22" s="24" t="n">
        <v>0.3</v>
      </c>
      <c r="R22" s="25">
        <f>IF(Q22="","",1-Q22)</f>
        <v/>
      </c>
      <c r="S22" s="20">
        <f>IF(Q22="","—",TEXT(1-Q22,"0%")&amp;" edukasi · "&amp;TEXT(Q22,"0%")&amp;" meme")</f>
        <v/>
      </c>
      <c r="T22" s="20" t="inlineStr">
        <is>
          <t>Telaah Kebijakan (per bab)</t>
        </is>
      </c>
      <c r="U22" s="20" t="inlineStr">
        <is>
          <t>policy-review</t>
        </is>
      </c>
      <c r="V22" s="19" t="inlineStr">
        <is>
          <t>20 dtk</t>
        </is>
      </c>
      <c r="W22" s="20" t="inlineStr">
        <is>
          <t>M16</t>
        </is>
      </c>
      <c r="X22" s="20" t="inlineStr">
        <is>
          <t>Garis coret digambar (stroke), tanda sisip muncul, teks pengganti ditulis tangan.</t>
        </is>
      </c>
      <c r="Y22" s="20" t="inlineStr">
        <is>
          <t>Crop angka yang tampil rusak di screenshot.</t>
        </is>
      </c>
      <c r="Z22" s="20">
        <f>IF(OR(E22="Bisa",E22="Berat"),1,0)</f>
        <v/>
      </c>
      <c r="AA22" s="20">
        <f>IF(Z22=1,J22-ROW()/100000,"")</f>
        <v/>
      </c>
      <c r="AB22" s="20">
        <f>B22&amp;"|"&amp;K22</f>
        <v/>
      </c>
    </row>
    <row r="23" ht="78" customHeight="1">
      <c r="A23" s="9" t="inlineStr">
        <is>
          <t>TY22</t>
        </is>
      </c>
      <c r="B23" s="5" t="inlineStr">
        <is>
          <t>Tipografi</t>
        </is>
      </c>
      <c r="C23" s="11" t="inlineStr">
        <is>
          <t>Isi titik-titik</t>
        </is>
      </c>
      <c r="D23" s="5" t="inlineStr">
        <is>
          <t>Kalimat dengan ruang kosong bergaris; jawaban muncul, dihapus, diganti.</t>
        </is>
      </c>
      <c r="E23" s="22" t="inlineStr">
        <is>
          <t>Sudah</t>
        </is>
      </c>
      <c r="F23" s="9" t="inlineStr">
        <is>
          <t>TY22</t>
        </is>
      </c>
      <c r="G23" s="9" t="n">
        <v>1</v>
      </c>
      <c r="H23" s="9" t="n">
        <v>6</v>
      </c>
      <c r="I23" s="9" t="n">
        <v>8</v>
      </c>
      <c r="J23" s="26">
        <f>IF(E23="Tidak cocok","",ROUND(H23*W_GAYA_WOW+I23*W_GAYA_MEREK+(11-2*G23)*W_GAYA_MUDAH,1))</f>
        <v/>
      </c>
      <c r="K23" s="9">
        <f>IF(Z23=1,COUNTIFS($B$2:$B$254,B23,$AA$2:$AA$254,"&gt;"&amp;AA23)+1,"—")</f>
        <v/>
      </c>
      <c r="L23" s="9" t="n">
        <v>1</v>
      </c>
      <c r="M23" s="11" t="inlineStr">
        <is>
          <t>Isi Titik-titik Ini</t>
        </is>
      </c>
      <c r="N23" s="9" t="inlineStr">
        <is>
          <t>Reverse psychology</t>
        </is>
      </c>
      <c r="O23" s="5" t="inlineStr">
        <is>
          <t>“Jangan isi titik-titik ini kalau belum yakin: data pelanggan kami disimpan di ______.”</t>
        </is>
      </c>
      <c r="P23" s="5" t="inlineStr">
        <is>
          <t>Jawaban berubah-ubah (server? laptop? pihak ketiga?) → katalog sistem &amp; sumber data → CTA</t>
        </is>
      </c>
      <c r="Q23" s="24" t="n">
        <v>0.3</v>
      </c>
      <c r="R23" s="27">
        <f>IF(Q23="","",1-Q23)</f>
        <v/>
      </c>
      <c r="S23" s="5">
        <f>IF(Q23="","—",TEXT(1-Q23,"0%")&amp;" edukasi · "&amp;TEXT(Q23,"0%")&amp;" meme")</f>
        <v/>
      </c>
      <c r="T23" s="5" t="inlineStr">
        <is>
          <t>Data Discovery, RoPA</t>
        </is>
      </c>
      <c r="U23" s="5" t="inlineStr">
        <is>
          <t>—</t>
        </is>
      </c>
      <c r="V23" s="9" t="inlineStr">
        <is>
          <t>15 dtk</t>
        </is>
      </c>
      <c r="W23" s="5" t="inlineStr">
        <is>
          <t>Baru (turunan M15)</t>
        </is>
      </c>
      <c r="X23" s="5" t="inlineStr">
        <is>
          <t>Garis bawah + teks jawaban ketik/hapus bergantian; tanda tanya bergoyang.</t>
        </is>
      </c>
      <c r="Y23" s="5" t="inlineStr"/>
      <c r="Z23" s="5">
        <f>IF(OR(E23="Bisa",E23="Berat"),1,0)</f>
        <v/>
      </c>
      <c r="AA23" s="5">
        <f>IF(Z23=1,J23-ROW()/100000,"")</f>
        <v/>
      </c>
      <c r="AB23" s="5">
        <f>B23&amp;"|"&amp;K23</f>
        <v/>
      </c>
    </row>
    <row r="24" ht="78" customHeight="1">
      <c r="A24" s="19" t="inlineStr">
        <is>
          <t>TY23</t>
        </is>
      </c>
      <c r="B24" s="20" t="inlineStr">
        <is>
          <t>Tipografi</t>
        </is>
      </c>
      <c r="C24" s="21" t="inlineStr">
        <is>
          <t>Cari kata</t>
        </is>
      </c>
      <c r="D24" s="20" t="inlineStr">
        <is>
          <t>Kotak huruf acak; kata yang ditemukan dilingkari satu per satu.</t>
        </is>
      </c>
      <c r="E24" s="22" t="inlineStr">
        <is>
          <t>Sudah</t>
        </is>
      </c>
      <c r="F24" s="19" t="inlineStr">
        <is>
          <t>TY23</t>
        </is>
      </c>
      <c r="G24" s="19" t="n">
        <v>2</v>
      </c>
      <c r="H24" s="19" t="n">
        <v>7</v>
      </c>
      <c r="I24" s="19" t="n">
        <v>7</v>
      </c>
      <c r="J24" s="23">
        <f>IF(E24="Tidak cocok","",ROUND(H24*W_GAYA_WOW+I24*W_GAYA_MEREK+(11-2*G24)*W_GAYA_MUDAH,1))</f>
        <v/>
      </c>
      <c r="K24" s="19">
        <f>IF(Z24=1,COUNTIFS($B$2:$B$254,B24,$AA$2:$AA$254,"&gt;"&amp;AA24)+1,"—")</f>
        <v/>
      </c>
      <c r="L24" s="19" t="n">
        <v>1</v>
      </c>
      <c r="M24" s="21" t="inlineStr">
        <is>
          <t>Cari 5 Kewajiban</t>
        </is>
      </c>
      <c r="N24" s="19" t="inlineStr">
        <is>
          <t>Relate</t>
        </is>
      </c>
      <c r="O24" s="20" t="inlineStr">
        <is>
          <t>“Cari 5 kewajiban UU PDP di kotak ini. Waktumu 10 detik.”</t>
        </is>
      </c>
      <c r="P24" s="20" t="inlineStr">
        <is>
          <t>Timer berjalan → RoPA, DPIA, DSR, CONSENT, INSIDEN dilingkari → “di Nexus tidak perlu dicari” → CTA</t>
        </is>
      </c>
      <c r="Q24" s="24" t="n">
        <v>0.5</v>
      </c>
      <c r="R24" s="25">
        <f>IF(Q24="","",1-Q24)</f>
        <v/>
      </c>
      <c r="S24" s="20">
        <f>IF(Q24="","—",TEXT(1-Q24,"0%")&amp;" edukasi · "&amp;TEXT(Q24,"0%")&amp;" meme")</f>
        <v/>
      </c>
      <c r="T24" s="20" t="inlineStr">
        <is>
          <t>Platform</t>
        </is>
      </c>
      <c r="U24" s="20" t="inlineStr">
        <is>
          <t>—</t>
        </is>
      </c>
      <c r="V24" s="19" t="inlineStr">
        <is>
          <t>15 dtk</t>
        </is>
      </c>
      <c r="W24" s="20" t="inlineStr">
        <is>
          <t>Baru</t>
        </is>
      </c>
      <c r="X24" s="20" t="inlineStr">
        <is>
          <t>Grid huruf; lingkaran kapsul digambar (stroke) di atas kata; penghitung waktu.</t>
        </is>
      </c>
      <c r="Y24" s="20" t="inlineStr">
        <is>
          <t>Mengundang komentar &amp; share.</t>
        </is>
      </c>
      <c r="Z24" s="20">
        <f>IF(OR(E24="Bisa",E24="Berat"),1,0)</f>
        <v/>
      </c>
      <c r="AA24" s="20">
        <f>IF(Z24=1,J24-ROW()/100000,"")</f>
        <v/>
      </c>
      <c r="AB24" s="20">
        <f>B24&amp;"|"&amp;K24</f>
        <v/>
      </c>
    </row>
    <row r="25" ht="78" customHeight="1">
      <c r="A25" s="9" t="inlineStr">
        <is>
          <t>TY24</t>
        </is>
      </c>
      <c r="B25" s="5" t="inlineStr">
        <is>
          <t>Tipografi</t>
        </is>
      </c>
      <c r="C25" s="11" t="inlineStr">
        <is>
          <t>Tuts keyboard</t>
        </is>
      </c>
      <c r="D25" s="5" t="inlineStr">
        <is>
          <t>Tuts keyboard besar ditekan satu per satu membentuk pesan.</t>
        </is>
      </c>
      <c r="E25" s="22" t="inlineStr">
        <is>
          <t>Sudah</t>
        </is>
      </c>
      <c r="F25" s="9" t="inlineStr">
        <is>
          <t>TY24</t>
        </is>
      </c>
      <c r="G25" s="9" t="n">
        <v>2</v>
      </c>
      <c r="H25" s="9" t="n">
        <v>7</v>
      </c>
      <c r="I25" s="9" t="n">
        <v>8</v>
      </c>
      <c r="J25" s="26">
        <f>IF(E25="Tidak cocok","",ROUND(H25*W_GAYA_WOW+I25*W_GAYA_MEREK+(11-2*G25)*W_GAYA_MUDAH,1))</f>
        <v/>
      </c>
      <c r="K25" s="9">
        <f>IF(Z25=1,COUNTIFS($B$2:$B$254,B25,$AA$2:$AA$254,"&gt;"&amp;AA25)+1,"—")</f>
        <v/>
      </c>
      <c r="L25" s="9" t="n">
        <v>1</v>
      </c>
      <c r="M25" s="11" t="inlineStr">
        <is>
          <t>Ctrl + Z</t>
        </is>
      </c>
      <c r="N25" s="9" t="inlineStr">
        <is>
          <t>Logika dipatahkan</t>
        </is>
      </c>
      <c r="O25" s="5" t="inlineStr">
        <is>
          <t>“Semua bisa di-undo. Kecuali data yang sudah bocor.”</t>
        </is>
      </c>
      <c r="P25" s="5" t="inlineStr">
        <is>
          <t>Ctrl+Z ditekan berulang, tidak terjadi apa-apa → yang bisa: latihan sebelum kejadian → Fire Drill → CTA</t>
        </is>
      </c>
      <c r="Q25" s="24" t="n">
        <v>0.3</v>
      </c>
      <c r="R25" s="27">
        <f>IF(Q25="","",1-Q25)</f>
        <v/>
      </c>
      <c r="S25" s="5">
        <f>IF(Q25="","—",TEXT(1-Q25,"0%")&amp;" edukasi · "&amp;TEXT(Q25,"0%")&amp;" meme")</f>
        <v/>
      </c>
      <c r="T25" s="5" t="inlineStr">
        <is>
          <t>Simulasi &amp; Fire Drill, Insiden</t>
        </is>
      </c>
      <c r="U25" s="5" t="inlineStr">
        <is>
          <t>fire-drill-header</t>
        </is>
      </c>
      <c r="V25" s="9" t="inlineStr">
        <is>
          <t>10 dtk</t>
        </is>
      </c>
      <c r="W25" s="5" t="inlineStr">
        <is>
          <t>M12 / P17</t>
        </is>
      </c>
      <c r="X25" s="5" t="inlineStr">
        <is>
          <t>Kotak tuts 3D semu (bayangan), turun 6 px saat ditekan; SFX key.</t>
        </is>
      </c>
      <c r="Y25" s="5" t="inlineStr"/>
      <c r="Z25" s="5">
        <f>IF(OR(E25="Bisa",E25="Berat"),1,0)</f>
        <v/>
      </c>
      <c r="AA25" s="5">
        <f>IF(Z25=1,J25-ROW()/100000,"")</f>
        <v/>
      </c>
      <c r="AB25" s="5">
        <f>B25&amp;"|"&amp;K25</f>
        <v/>
      </c>
    </row>
    <row r="26" ht="78" customHeight="1">
      <c r="A26" s="19" t="inlineStr">
        <is>
          <t>TY25</t>
        </is>
      </c>
      <c r="B26" s="20" t="inlineStr">
        <is>
          <t>Tipografi</t>
        </is>
      </c>
      <c r="C26" s="21" t="inlineStr">
        <is>
          <t>Entri kamus</t>
        </is>
      </c>
      <c r="D26" s="20" t="inlineStr">
        <is>
          <t>Halaman kamus: kata, cara baca, kelas kata, definisi, contoh kalimat.</t>
        </is>
      </c>
      <c r="E26" s="22" t="inlineStr">
        <is>
          <t>Sudah</t>
        </is>
      </c>
      <c r="F26" s="19" t="inlineStr">
        <is>
          <t>TY25</t>
        </is>
      </c>
      <c r="G26" s="19" t="n">
        <v>1</v>
      </c>
      <c r="H26" s="19" t="n">
        <v>7</v>
      </c>
      <c r="I26" s="19" t="n">
        <v>8</v>
      </c>
      <c r="J26" s="23">
        <f>IF(E26="Tidak cocok","",ROUND(H26*W_GAYA_WOW+I26*W_GAYA_MEREK+(11-2*G26)*W_GAYA_MUDAH,1))</f>
        <v/>
      </c>
      <c r="K26" s="19">
        <f>IF(Z26=1,COUNTIFS($B$2:$B$254,B26,$AA$2:$AA$254,"&gt;"&amp;AA26)+1,"—")</f>
        <v/>
      </c>
      <c r="L26" s="19" t="n">
        <v>1</v>
      </c>
      <c r="M26" s="21" t="inlineStr">
        <is>
          <t>DPO (n.)</t>
        </is>
      </c>
      <c r="N26" s="19" t="inlineStr">
        <is>
          <t>Relate</t>
        </is>
      </c>
      <c r="O26" s="20" t="inlineStr">
        <is>
          <t>“DPO (n.): orang yang ditanya semua hal tentang data, termasuk yang bukan urusannya.”</t>
        </is>
      </c>
      <c r="P26" s="20" t="inlineStr">
        <is>
          <t>Arti 1, 2, 3 makin jujur → arti 4: “punya antrean kerja dan asisten AI” → CTA</t>
        </is>
      </c>
      <c r="Q26" s="24" t="n">
        <v>0.3</v>
      </c>
      <c r="R26" s="25">
        <f>IF(Q26="","",1-Q26)</f>
        <v/>
      </c>
      <c r="S26" s="20">
        <f>IF(Q26="","—",TEXT(1-Q26,"0%")&amp;" edukasi · "&amp;TEXT(Q26,"0%")&amp;" meme")</f>
        <v/>
      </c>
      <c r="T26" s="20" t="inlineStr">
        <is>
          <t>Dukungan PPDP, Priva</t>
        </is>
      </c>
      <c r="U26" s="20" t="inlineStr">
        <is>
          <t>ai-agent-home</t>
        </is>
      </c>
      <c r="V26" s="19" t="inlineStr">
        <is>
          <t>15 dtk</t>
        </is>
      </c>
      <c r="W26" s="20" t="inlineStr">
        <is>
          <t>A40 / A12</t>
        </is>
      </c>
      <c r="X26" s="20" t="inlineStr">
        <is>
          <t>Tata letak serif; definisi muncul per baris; nomor arti bertambah.</t>
        </is>
      </c>
      <c r="Y26" s="20" t="inlineStr"/>
      <c r="Z26" s="20">
        <f>IF(OR(E26="Bisa",E26="Berat"),1,0)</f>
        <v/>
      </c>
      <c r="AA26" s="20">
        <f>IF(Z26=1,J26-ROW()/100000,"")</f>
        <v/>
      </c>
      <c r="AB26" s="20">
        <f>B26&amp;"|"&amp;K26</f>
        <v/>
      </c>
    </row>
    <row r="27" ht="78" customHeight="1">
      <c r="A27" s="9" t="inlineStr">
        <is>
          <t>TY26</t>
        </is>
      </c>
      <c r="B27" s="5" t="inlineStr">
        <is>
          <t>Tipografi</t>
        </is>
      </c>
      <c r="C27" s="11" t="inlineStr">
        <is>
          <t>Angka raksasa (big number)</t>
        </is>
      </c>
      <c r="D27" s="5" t="inlineStr">
        <is>
          <t>Satu angka memenuhi layar; keterangan kecil di bawahnya.</t>
        </is>
      </c>
      <c r="E27" s="22" t="inlineStr">
        <is>
          <t>Sudah</t>
        </is>
      </c>
      <c r="F27" s="9" t="inlineStr">
        <is>
          <t>TY26</t>
        </is>
      </c>
      <c r="G27" s="9" t="n">
        <v>1</v>
      </c>
      <c r="H27" s="9" t="n">
        <v>7</v>
      </c>
      <c r="I27" s="9" t="n">
        <v>9</v>
      </c>
      <c r="J27" s="26">
        <f>IF(E27="Tidak cocok","",ROUND(H27*W_GAYA_WOW+I27*W_GAYA_MEREK+(11-2*G27)*W_GAYA_MUDAH,1))</f>
        <v/>
      </c>
      <c r="K27" s="9">
        <f>IF(Z27=1,COUNTIFS($B$2:$B$254,B27,$AA$2:$AA$254,"&gt;"&amp;AA27)+1,"—")</f>
        <v/>
      </c>
      <c r="L27" s="9" t="n">
        <v>1</v>
      </c>
      <c r="M27" s="11" t="inlineStr">
        <is>
          <t>2%</t>
        </is>
      </c>
      <c r="N27" s="9" t="inlineStr">
        <is>
          <t>Anomali</t>
        </is>
      </c>
      <c r="O27" s="5" t="inlineStr">
        <is>
          <t>“Angka kecil yang membuat CFO berdiri dari kursinya: 2%.”</t>
        </is>
      </c>
      <c r="P27" s="5" t="inlineStr">
        <is>
          <t>2% raksasa → “dari pendapatan tahunan” → pemetaan pasal bersanksi → CTA konsultasi</t>
        </is>
      </c>
      <c r="Q27" s="24" t="n">
        <v>0.2</v>
      </c>
      <c r="R27" s="27">
        <f>IF(Q27="","",1-Q27)</f>
        <v/>
      </c>
      <c r="S27" s="5">
        <f>IF(Q27="","—",TEXT(1-Q27,"0%")&amp;" edukasi · "&amp;TEXT(Q27,"0%")&amp;" meme")</f>
        <v/>
      </c>
      <c r="T27" s="5" t="inlineStr">
        <is>
          <t>Paparan Sanksi Administratif</t>
        </is>
      </c>
      <c r="U27" s="5" t="inlineStr">
        <is>
          <t>—</t>
        </is>
      </c>
      <c r="V27" s="9" t="inlineStr">
        <is>
          <t>10 dtk</t>
        </is>
      </c>
      <c r="W27" s="5" t="inlineStr">
        <is>
          <t>P29 / A08</t>
        </is>
      </c>
      <c r="X27" s="5" t="inlineStr">
        <is>
          <t>Angka fit-to-width, masuk dengan hentakan; hitungan naik.</t>
        </is>
      </c>
      <c r="Y27" s="5" t="inlineStr">
        <is>
          <t>UU PDP Pasal 57 ayat (3): paling tinggi 2%.</t>
        </is>
      </c>
      <c r="Z27" s="5">
        <f>IF(OR(E27="Bisa",E27="Berat"),1,0)</f>
        <v/>
      </c>
      <c r="AA27" s="5">
        <f>IF(Z27=1,J27-ROW()/100000,"")</f>
        <v/>
      </c>
      <c r="AB27" s="5">
        <f>B27&amp;"|"&amp;K27</f>
        <v/>
      </c>
    </row>
    <row r="28" ht="78" customHeight="1">
      <c r="A28" s="19" t="inlineStr">
        <is>
          <t>TY27</t>
        </is>
      </c>
      <c r="B28" s="20" t="inlineStr">
        <is>
          <t>Tipografi</t>
        </is>
      </c>
      <c r="C28" s="21" t="inlineStr">
        <is>
          <t>Huruf 3D / isometrik</t>
        </is>
      </c>
      <c r="D28" s="20" t="inlineStr">
        <is>
          <t>Huruf berdiri seperti gedung dengan sisi dan bayangan.</t>
        </is>
      </c>
      <c r="E28" s="22" t="inlineStr">
        <is>
          <t>Sudah</t>
        </is>
      </c>
      <c r="F28" s="19" t="inlineStr">
        <is>
          <t>TY27</t>
        </is>
      </c>
      <c r="G28" s="19" t="n">
        <v>3</v>
      </c>
      <c r="H28" s="19" t="n">
        <v>8</v>
      </c>
      <c r="I28" s="19" t="n">
        <v>7</v>
      </c>
      <c r="J28" s="23">
        <f>IF(E28="Tidak cocok","",ROUND(H28*W_GAYA_WOW+I28*W_GAYA_MEREK+(11-2*G28)*W_GAYA_MUDAH,1))</f>
        <v/>
      </c>
      <c r="K28" s="19">
        <f>IF(Z28=1,COUNTIFS($B$2:$B$254,B28,$AA$2:$AA$254,"&gt;"&amp;AA28)+1,"—")</f>
        <v/>
      </c>
      <c r="L28" s="19" t="n">
        <v>1</v>
      </c>
      <c r="M28" s="21" t="inlineStr">
        <is>
          <t>Kota PP 33</t>
        </is>
      </c>
      <c r="N28" s="19" t="inlineStr">
        <is>
          <t>Anomali</t>
        </is>
      </c>
      <c r="O28" s="20" t="inlineStr">
        <is>
          <t>“Bangunan ini selesai 16 Januari 2027. Kantormu sudah punya kuncinya?”</t>
        </is>
      </c>
      <c r="P28" s="20" t="inlineStr">
        <is>
          <t>Huruf PP 33 dibangun lantai demi lantai → tanggal muncul → program siap PP 33 → CTA</t>
        </is>
      </c>
      <c r="Q28" s="24" t="n">
        <v>0.5</v>
      </c>
      <c r="R28" s="25">
        <f>IF(Q28="","",1-Q28)</f>
        <v/>
      </c>
      <c r="S28" s="20">
        <f>IF(Q28="","—",TEXT(1-Q28,"0%")&amp;" edukasi · "&amp;TEXT(Q28,"0%")&amp;" meme")</f>
        <v/>
      </c>
      <c r="T28" s="20" t="inlineStr">
        <is>
          <t>Program siap PP 33, GAP</t>
        </is>
      </c>
      <c r="U28" s="20" t="inlineStr">
        <is>
          <t>—</t>
        </is>
      </c>
      <c r="V28" s="19" t="inlineStr">
        <is>
          <t>15 dtk</t>
        </is>
      </c>
      <c r="W28" s="20" t="inlineStr">
        <is>
          <t>P04 / A23</t>
        </is>
      </c>
      <c r="X28" s="20" t="inlineStr">
        <is>
          <t>Lapisan text-shadow bertumpuk atau CSS 3D; kamera orbit kecil.</t>
        </is>
      </c>
      <c r="Y28" s="20" t="inlineStr"/>
      <c r="Z28" s="20">
        <f>IF(OR(E28="Bisa",E28="Berat"),1,0)</f>
        <v/>
      </c>
      <c r="AA28" s="20">
        <f>IF(Z28=1,J28-ROW()/100000,"")</f>
        <v/>
      </c>
      <c r="AB28" s="20">
        <f>B28&amp;"|"&amp;K28</f>
        <v/>
      </c>
    </row>
    <row r="29" ht="78" customHeight="1">
      <c r="A29" s="9" t="inlineStr">
        <is>
          <t>TY28</t>
        </is>
      </c>
      <c r="B29" s="5" t="inlineStr">
        <is>
          <t>Tipografi</t>
        </is>
      </c>
      <c r="C29" s="11" t="inlineStr">
        <is>
          <t>Bayangan panjang (long shadow)</t>
        </is>
      </c>
      <c r="D29" s="5" t="inlineStr">
        <is>
          <t>Huruf datar dengan bayangan diagonal yang memanjang.</t>
        </is>
      </c>
      <c r="E29" s="22" t="inlineStr">
        <is>
          <t>Sudah</t>
        </is>
      </c>
      <c r="F29" s="9" t="inlineStr">
        <is>
          <t>TY28</t>
        </is>
      </c>
      <c r="G29" s="9" t="n">
        <v>1</v>
      </c>
      <c r="H29" s="9" t="n">
        <v>5</v>
      </c>
      <c r="I29" s="9" t="n">
        <v>7</v>
      </c>
      <c r="J29" s="26">
        <f>IF(E29="Tidak cocok","",ROUND(H29*W_GAYA_WOW+I29*W_GAYA_MEREK+(11-2*G29)*W_GAYA_MUDAH,1))</f>
        <v/>
      </c>
      <c r="K29" s="9">
        <f>IF(Z29=1,COUNTIFS($B$2:$B$254,B29,$AA$2:$AA$254,"&gt;"&amp;AA29)+1,"—")</f>
        <v/>
      </c>
      <c r="L29" s="9" t="n">
        <v>1</v>
      </c>
      <c r="M29" s="11" t="inlineStr">
        <is>
          <t>Bayangan Tenggat</t>
        </is>
      </c>
      <c r="N29" s="9" t="inlineStr">
        <is>
          <t>Anomali</t>
        </is>
      </c>
      <c r="O29" s="5" t="inlineStr">
        <is>
          <t>“Makin dekat tanggalnya, makin panjang bayangannya.”</t>
        </is>
      </c>
      <c r="P29" s="5" t="inlineStr">
        <is>
          <t>“16 JAN” → bayangan memanjang menutupi meja kerja → daftar langkah siap PP 33 → CTA</t>
        </is>
      </c>
      <c r="Q29" s="24" t="n">
        <v>0.5</v>
      </c>
      <c r="R29" s="27">
        <f>IF(Q29="","",1-Q29)</f>
        <v/>
      </c>
      <c r="S29" s="5">
        <f>IF(Q29="","—",TEXT(1-Q29,"0%")&amp;" edukasi · "&amp;TEXT(Q29,"0%")&amp;" meme")</f>
        <v/>
      </c>
      <c r="T29" s="5" t="inlineStr">
        <is>
          <t>Program siap PP 33</t>
        </is>
      </c>
      <c r="U29" s="5" t="inlineStr">
        <is>
          <t>—</t>
        </is>
      </c>
      <c r="V29" s="9" t="inlineStr">
        <is>
          <t>10 dtk</t>
        </is>
      </c>
      <c r="W29" s="5" t="inlineStr">
        <is>
          <t>A23</t>
        </is>
      </c>
      <c r="X29" s="5" t="inlineStr">
        <is>
          <t>Bayangan dari banyak lapis offset; panjang bayangan = fungsi waktu.</t>
        </is>
      </c>
      <c r="Y29" s="5" t="inlineStr"/>
      <c r="Z29" s="5">
        <f>IF(OR(E29="Bisa",E29="Berat"),1,0)</f>
        <v/>
      </c>
      <c r="AA29" s="5">
        <f>IF(Z29=1,J29-ROW()/100000,"")</f>
        <v/>
      </c>
      <c r="AB29" s="5">
        <f>B29&amp;"|"&amp;K29</f>
        <v/>
      </c>
    </row>
    <row r="30" ht="78" customHeight="1">
      <c r="A30" s="19" t="inlineStr">
        <is>
          <t>TY29</t>
        </is>
      </c>
      <c r="B30" s="20" t="inlineStr">
        <is>
          <t>Tipografi</t>
        </is>
      </c>
      <c r="C30" s="21" t="inlineStr">
        <is>
          <t>Outline + gema</t>
        </is>
      </c>
      <c r="D30" s="20" t="inlineStr">
        <is>
          <t>Huruf garis tepi dengan salinan yang mengekor seperti gema.</t>
        </is>
      </c>
      <c r="E30" s="22" t="inlineStr">
        <is>
          <t>Sudah</t>
        </is>
      </c>
      <c r="F30" s="19" t="inlineStr">
        <is>
          <t>TY29</t>
        </is>
      </c>
      <c r="G30" s="19" t="n">
        <v>2</v>
      </c>
      <c r="H30" s="19" t="n">
        <v>7</v>
      </c>
      <c r="I30" s="19" t="n">
        <v>7</v>
      </c>
      <c r="J30" s="23">
        <f>IF(E30="Tidak cocok","",ROUND(H30*W_GAYA_WOW+I30*W_GAYA_MEREK+(11-2*G30)*W_GAYA_MUDAH,1))</f>
        <v/>
      </c>
      <c r="K30" s="19">
        <f>IF(Z30=1,COUNTIFS($B$2:$B$254,B30,$AA$2:$AA$254,"&gt;"&amp;AA30)+1,"—")</f>
        <v/>
      </c>
      <c r="L30" s="19" t="n">
        <v>1</v>
      </c>
      <c r="M30" s="21" t="inlineStr">
        <is>
          <t>Satu Permintaan, Tujuh Gema</t>
        </is>
      </c>
      <c r="N30" s="19" t="inlineStr">
        <is>
          <t>Relate</t>
        </is>
      </c>
      <c r="O30" s="20" t="inlineStr">
        <is>
          <t>“Satu permintaan: ‘hapus data saya’. Tujuh sistem yang harus menjawab.”</t>
        </is>
      </c>
      <c r="P30" s="20" t="inlineStr">
        <is>
          <t>Kata HAPUS bergema ke 7 arah → Data Discovery menemukan lokasinya → DSR terlacak sampai selesai → CTA</t>
        </is>
      </c>
      <c r="Q30" s="24" t="n">
        <v>0.5</v>
      </c>
      <c r="R30" s="25">
        <f>IF(Q30="","",1-Q30)</f>
        <v/>
      </c>
      <c r="S30" s="20">
        <f>IF(Q30="","—",TEXT(1-Q30,"0%")&amp;" edukasi · "&amp;TEXT(Q30,"0%")&amp;" meme")</f>
        <v/>
      </c>
      <c r="T30" s="20" t="inlineStr">
        <is>
          <t>DSR, Data Discovery</t>
        </is>
      </c>
      <c r="U30" s="20" t="inlineStr">
        <is>
          <t>dsr-detail</t>
        </is>
      </c>
      <c r="V30" s="19" t="inlineStr">
        <is>
          <t>15 dtk</t>
        </is>
      </c>
      <c r="W30" s="20" t="inlineStr">
        <is>
          <t>A38</t>
        </is>
      </c>
      <c r="X30" s="20" t="inlineStr">
        <is>
          <t>Salinan teks stroke-only dengan jeda waktu &amp; opasitas menurun.</t>
        </is>
      </c>
      <c r="Y30" s="20" t="inlineStr">
        <is>
          <t>Angka 7 = ilustrasi.</t>
        </is>
      </c>
      <c r="Z30" s="20">
        <f>IF(OR(E30="Bisa",E30="Berat"),1,0)</f>
        <v/>
      </c>
      <c r="AA30" s="20">
        <f>IF(Z30=1,J30-ROW()/100000,"")</f>
        <v/>
      </c>
      <c r="AB30" s="20">
        <f>B30&amp;"|"&amp;K30</f>
        <v/>
      </c>
    </row>
    <row r="31" ht="78" customHeight="1">
      <c r="A31" s="9" t="inlineStr">
        <is>
          <t>TY30</t>
        </is>
      </c>
      <c r="B31" s="5" t="inlineStr">
        <is>
          <t>Tipografi</t>
        </is>
      </c>
      <c r="C31" s="11" t="inlineStr">
        <is>
          <t>Pola kata berulang</t>
        </is>
      </c>
      <c r="D31" s="5" t="inlineStr">
        <is>
          <t>Layar penuh kata yang sama seperti wallpaper; satu kata berbeda.</t>
        </is>
      </c>
      <c r="E31" s="22" t="inlineStr">
        <is>
          <t>Sudah</t>
        </is>
      </c>
      <c r="F31" s="9" t="inlineStr">
        <is>
          <t>TY30</t>
        </is>
      </c>
      <c r="G31" s="9" t="n">
        <v>1</v>
      </c>
      <c r="H31" s="9" t="n">
        <v>6</v>
      </c>
      <c r="I31" s="9" t="n">
        <v>8</v>
      </c>
      <c r="J31" s="26">
        <f>IF(E31="Tidak cocok","",ROUND(H31*W_GAYA_WOW+I31*W_GAYA_MEREK+(11-2*G31)*W_GAYA_MUDAH,1))</f>
        <v/>
      </c>
      <c r="K31" s="9">
        <f>IF(Z31=1,COUNTIFS($B$2:$B$254,B31,$AA$2:$AA$254,"&gt;"&amp;AA31)+1,"—")</f>
        <v/>
      </c>
      <c r="L31" s="9" t="n">
        <v>1</v>
      </c>
      <c r="M31" s="11" t="inlineStr">
        <is>
          <t>12 Definisi Patuh</t>
        </is>
      </c>
      <c r="N31" s="9" t="inlineStr">
        <is>
          <t>Anomali</t>
        </is>
      </c>
      <c r="O31" s="5" t="inlineStr">
        <is>
          <t>“1 grup usaha. 12 anak perusahaan. 12 definisi ‘patuh’.”</t>
        </is>
      </c>
      <c r="P31" s="5" t="inlineStr">
        <is>
          <t>Kata PATUH ×12 dengan huruf berbeda-beda → diseragamkan → dasbor grup → CTA konsultasi enterprise</t>
        </is>
      </c>
      <c r="Q31" s="24" t="n">
        <v>0.3</v>
      </c>
      <c r="R31" s="27">
        <f>IF(Q31="","",1-Q31)</f>
        <v/>
      </c>
      <c r="S31" s="5">
        <f>IF(Q31="","—",TEXT(1-Q31,"0%")&amp;" edukasi · "&amp;TEXT(Q31,"0%")&amp;" meme")</f>
        <v/>
      </c>
      <c r="T31" s="5" t="inlineStr">
        <is>
          <t>Holding (asesmen &amp; dasbor grup)</t>
        </is>
      </c>
      <c r="U31" s="5" t="inlineStr">
        <is>
          <t>holding-header</t>
        </is>
      </c>
      <c r="V31" s="9" t="inlineStr">
        <is>
          <t>15 dtk</t>
        </is>
      </c>
      <c r="W31" s="5" t="inlineStr">
        <is>
          <t>M21 / P25</t>
        </is>
      </c>
      <c r="X31" s="5" t="inlineStr">
        <is>
          <t>Grid teks; satu sel berubah warna/kata; kamera mendekat ke sel itu.</t>
        </is>
      </c>
      <c r="Y31" s="5" t="inlineStr">
        <is>
          <t>Tanpa nama grup/perusahaan nyata.</t>
        </is>
      </c>
      <c r="Z31" s="5">
        <f>IF(OR(E31="Bisa",E31="Berat"),1,0)</f>
        <v/>
      </c>
      <c r="AA31" s="5">
        <f>IF(Z31=1,J31-ROW()/100000,"")</f>
        <v/>
      </c>
      <c r="AB31" s="5">
        <f>B31&amp;"|"&amp;K31</f>
        <v/>
      </c>
    </row>
    <row r="32" ht="78" customHeight="1">
      <c r="A32" s="19" t="inlineStr">
        <is>
          <t>TY31</t>
        </is>
      </c>
      <c r="B32" s="20" t="inlineStr">
        <is>
          <t>Tipografi</t>
        </is>
      </c>
      <c r="C32" s="21" t="inlineStr">
        <is>
          <t>Teks di jalur / pusaran</t>
        </is>
      </c>
      <c r="D32" s="20" t="inlineStr">
        <is>
          <t>Kalimat mengalir mengikuti lengkungan, spiral, atau pusaran.</t>
        </is>
      </c>
      <c r="E32" s="22" t="inlineStr">
        <is>
          <t>Sudah</t>
        </is>
      </c>
      <c r="F32" s="19" t="inlineStr">
        <is>
          <t>TY31</t>
        </is>
      </c>
      <c r="G32" s="19" t="n">
        <v>2</v>
      </c>
      <c r="H32" s="19" t="n">
        <v>7</v>
      </c>
      <c r="I32" s="19" t="n">
        <v>7</v>
      </c>
      <c r="J32" s="23">
        <f>IF(E32="Tidak cocok","",ROUND(H32*W_GAYA_WOW+I32*W_GAYA_MEREK+(11-2*G32)*W_GAYA_MUDAH,1))</f>
        <v/>
      </c>
      <c r="K32" s="19">
        <f>IF(Z32=1,COUNTIFS($B$2:$B$254,B32,$AA$2:$AA$254,"&gt;"&amp;AA32)+1,"—")</f>
        <v/>
      </c>
      <c r="L32" s="19" t="n">
        <v>1</v>
      </c>
      <c r="M32" s="21" t="inlineStr">
        <is>
          <t>Ke Mana Perginya?</t>
        </is>
      </c>
      <c r="N32" s="19" t="inlineStr">
        <is>
          <t>Anomali</t>
        </is>
      </c>
      <c r="O32" s="20" t="inlineStr">
        <is>
          <t>“Ke mana perginya data setelah tombol ‘Kirim’ ditekan?”</t>
        </is>
      </c>
      <c r="P32" s="20" t="inlineStr">
        <is>
          <t>Kata nama–email–NIK berputar masuk pusaran → keluar sebagai baris RoPA: tujuan, penerima, retensi → CTA</t>
        </is>
      </c>
      <c r="Q32" s="24" t="n">
        <v>0.5</v>
      </c>
      <c r="R32" s="25">
        <f>IF(Q32="","",1-Q32)</f>
        <v/>
      </c>
      <c r="S32" s="20">
        <f>IF(Q32="","—",TEXT(1-Q32,"0%")&amp;" edukasi · "&amp;TEXT(Q32,"0%")&amp;" meme")</f>
        <v/>
      </c>
      <c r="T32" s="20" t="inlineStr">
        <is>
          <t>RoPA</t>
        </is>
      </c>
      <c r="U32" s="20" t="inlineStr">
        <is>
          <t>ropa-tersimpan</t>
        </is>
      </c>
      <c r="V32" s="19" t="inlineStr">
        <is>
          <t>15 dtk</t>
        </is>
      </c>
      <c r="W32" s="20" t="inlineStr">
        <is>
          <t>Baru (turunan M04)</t>
        </is>
      </c>
      <c r="X32" s="20" t="inlineStr">
        <is>
          <t>SVG textPath dengan startOffset dianimasikan; spiral mengecil ke tengah.</t>
        </is>
      </c>
      <c r="Y32" s="20" t="inlineStr"/>
      <c r="Z32" s="20">
        <f>IF(OR(E32="Bisa",E32="Berat"),1,0)</f>
        <v/>
      </c>
      <c r="AA32" s="20">
        <f>IF(Z32=1,J32-ROW()/100000,"")</f>
        <v/>
      </c>
      <c r="AB32" s="20">
        <f>B32&amp;"|"&amp;K32</f>
        <v/>
      </c>
    </row>
    <row r="33" ht="78" customHeight="1">
      <c r="A33" s="9" t="inlineStr">
        <is>
          <t>TY32</t>
        </is>
      </c>
      <c r="B33" s="5" t="inlineStr">
        <is>
          <t>Tipografi</t>
        </is>
      </c>
      <c r="C33" s="11" t="inlineStr">
        <is>
          <t>Huruf berjatuhan</t>
        </is>
      </c>
      <c r="D33" s="5" t="inlineStr">
        <is>
          <t>Huruf lepas dari kalimat, jatuh, memantul, dan menumpuk di bawah.</t>
        </is>
      </c>
      <c r="E33" s="22" t="inlineStr">
        <is>
          <t>Sudah</t>
        </is>
      </c>
      <c r="F33" s="9" t="inlineStr">
        <is>
          <t>TY32</t>
        </is>
      </c>
      <c r="G33" s="9" t="n">
        <v>3</v>
      </c>
      <c r="H33" s="9" t="n">
        <v>8</v>
      </c>
      <c r="I33" s="9" t="n">
        <v>6</v>
      </c>
      <c r="J33" s="26">
        <f>IF(E33="Tidak cocok","",ROUND(H33*W_GAYA_WOW+I33*W_GAYA_MEREK+(11-2*G33)*W_GAYA_MUDAH,1))</f>
        <v/>
      </c>
      <c r="K33" s="9">
        <f>IF(Z33=1,COUNTIFS($B$2:$B$254,B33,$AA$2:$AA$254,"&gt;"&amp;AA33)+1,"—")</f>
        <v/>
      </c>
      <c r="L33" s="9" t="n">
        <v>1</v>
      </c>
      <c r="M33" s="11" t="inlineStr">
        <is>
          <t>40 Halaman</t>
        </is>
      </c>
      <c r="N33" s="9" t="inlineStr">
        <is>
          <t>Relate</t>
        </is>
      </c>
      <c r="O33" s="5" t="inlineStr">
        <is>
          <t>“Tidak ada yang membaca kebijakan privasi 40 halaman. Termasuk yang menulisnya.”</t>
        </is>
      </c>
      <c r="P33" s="5" t="inlineStr">
        <is>
          <t>Paragraf runtuh jadi tumpukan huruf → tersusun ulang jadi temuan per bab → CTA</t>
        </is>
      </c>
      <c r="Q33" s="24" t="n">
        <v>0.7</v>
      </c>
      <c r="R33" s="27">
        <f>IF(Q33="","",1-Q33)</f>
        <v/>
      </c>
      <c r="S33" s="5">
        <f>IF(Q33="","—",TEXT(1-Q33,"0%")&amp;" edukasi · "&amp;TEXT(Q33,"0%")&amp;" meme")</f>
        <v/>
      </c>
      <c r="T33" s="5" t="inlineStr">
        <is>
          <t>Telaah Kebijakan</t>
        </is>
      </c>
      <c r="U33" s="5" t="inlineStr">
        <is>
          <t>policy-review</t>
        </is>
      </c>
      <c r="V33" s="9" t="inlineStr">
        <is>
          <t>15 dtk</t>
        </is>
      </c>
      <c r="W33" s="5" t="inlineStr">
        <is>
          <t>M16 (varian)</t>
        </is>
      </c>
      <c r="X33" s="5" t="inlineStr">
        <is>
          <t>Lintasan jatuh dihitung dari rumus (tanpa simulasi acak); rotasi dari hash.</t>
        </is>
      </c>
      <c r="Y33" s="5" t="inlineStr">
        <is>
          <t>“40 halaman” = ilustrasi.</t>
        </is>
      </c>
      <c r="Z33" s="5">
        <f>IF(OR(E33="Bisa",E33="Berat"),1,0)</f>
        <v/>
      </c>
      <c r="AA33" s="5">
        <f>IF(Z33=1,J33-ROW()/100000,"")</f>
        <v/>
      </c>
      <c r="AB33" s="5">
        <f>B33&amp;"|"&amp;K33</f>
        <v/>
      </c>
    </row>
    <row r="34" ht="78" customHeight="1">
      <c r="A34" s="19" t="inlineStr">
        <is>
          <t>TY33</t>
        </is>
      </c>
      <c r="B34" s="20" t="inlineStr">
        <is>
          <t>Tipografi</t>
        </is>
      </c>
      <c r="C34" s="21" t="inlineStr">
        <is>
          <t>Anagram (huruf bertukar tempat)</t>
        </is>
      </c>
      <c r="D34" s="20" t="inlineStr">
        <is>
          <t>Huruf-huruf sebuah kata bertukar tempat membentuk kata lain.</t>
        </is>
      </c>
      <c r="E34" s="22" t="inlineStr">
        <is>
          <t>Sudah</t>
        </is>
      </c>
      <c r="F34" s="19" t="inlineStr">
        <is>
          <t>TY33</t>
        </is>
      </c>
      <c r="G34" s="19" t="n">
        <v>1</v>
      </c>
      <c r="H34" s="19" t="n">
        <v>9</v>
      </c>
      <c r="I34" s="19" t="n">
        <v>9</v>
      </c>
      <c r="J34" s="23">
        <f>IF(E34="Tidak cocok","",ROUND(H34*W_GAYA_WOW+I34*W_GAYA_MEREK+(11-2*G34)*W_GAYA_MUDAH,1))</f>
        <v/>
      </c>
      <c r="K34" s="19">
        <f>IF(Z34=1,COUNTIFS($B$2:$B$254,B34,$AA$2:$AA$254,"&gt;"&amp;AA34)+1,"—")</f>
        <v/>
      </c>
      <c r="L34" s="19" t="n">
        <v>1</v>
      </c>
      <c r="M34" s="21" t="inlineStr">
        <is>
          <t>NAMA ↔ AMAN</t>
        </is>
      </c>
      <c r="N34" s="19" t="inlineStr">
        <is>
          <t>Anomali</t>
        </is>
      </c>
      <c r="O34" s="20" t="inlineStr">
        <is>
          <t>“NAMA dan AMAN tersusun dari empat huruf yang sama.”</t>
        </is>
      </c>
      <c r="P34" s="20" t="inlineStr">
        <is>
          <t>NAMA → huruf bertukar → AMAN → “bedanya cuma di cara mengaturnya” → RoPA &amp; log bukti → CTA</t>
        </is>
      </c>
      <c r="Q34" s="24" t="n">
        <v>0.1</v>
      </c>
      <c r="R34" s="25">
        <f>IF(Q34="","",1-Q34)</f>
        <v/>
      </c>
      <c r="S34" s="20">
        <f>IF(Q34="","—",TEXT(1-Q34,"0%")&amp;" edukasi · "&amp;TEXT(Q34,"0%")&amp;" meme")</f>
        <v/>
      </c>
      <c r="T34" s="20" t="inlineStr">
        <is>
          <t>Platform, RoPA</t>
        </is>
      </c>
      <c r="U34" s="20" t="inlineStr">
        <is>
          <t>ropa-list-baru</t>
        </is>
      </c>
      <c r="V34" s="19" t="inlineStr">
        <is>
          <t>10 dtk</t>
        </is>
      </c>
      <c r="W34" s="20" t="inlineStr">
        <is>
          <t>Baru</t>
        </is>
      </c>
      <c r="X34" s="20" t="inlineStr">
        <is>
          <t>Tiap huruf pindah posisi lewat lengkungan; jeda bertingkat.</t>
        </is>
      </c>
      <c r="Y34" s="20" t="inlineStr">
        <is>
          <t>Hook paling hemat: 4 huruf.</t>
        </is>
      </c>
      <c r="Z34" s="20">
        <f>IF(OR(E34="Bisa",E34="Berat"),1,0)</f>
        <v/>
      </c>
      <c r="AA34" s="20">
        <f>IF(Z34=1,J34-ROW()/100000,"")</f>
        <v/>
      </c>
      <c r="AB34" s="20">
        <f>B34&amp;"|"&amp;K34</f>
        <v/>
      </c>
    </row>
    <row r="35" ht="78" customHeight="1">
      <c r="A35" s="9" t="inlineStr">
        <is>
          <t>TY34</t>
        </is>
      </c>
      <c r="B35" s="5" t="inlineStr">
        <is>
          <t>Tipografi</t>
        </is>
      </c>
      <c r="C35" s="11" t="inlineStr">
        <is>
          <t>Kaligram (kata membentuk gambar)</t>
        </is>
      </c>
      <c r="D35" s="5" t="inlineStr">
        <is>
          <t>Ratusan kata kecil tersusun membentuk gambar (gembok, perisai).</t>
        </is>
      </c>
      <c r="E35" s="22" t="inlineStr">
        <is>
          <t>Sudah</t>
        </is>
      </c>
      <c r="F35" s="9" t="inlineStr">
        <is>
          <t>TY34</t>
        </is>
      </c>
      <c r="G35" s="9" t="n">
        <v>3</v>
      </c>
      <c r="H35" s="9" t="n">
        <v>8</v>
      </c>
      <c r="I35" s="9" t="n">
        <v>8</v>
      </c>
      <c r="J35" s="26">
        <f>IF(E35="Tidak cocok","",ROUND(H35*W_GAYA_WOW+I35*W_GAYA_MEREK+(11-2*G35)*W_GAYA_MUDAH,1))</f>
        <v/>
      </c>
      <c r="K35" s="9">
        <f>IF(Z35=1,COUNTIFS($B$2:$B$254,B35,$AA$2:$AA$254,"&gt;"&amp;AA35)+1,"—")</f>
        <v/>
      </c>
      <c r="L35" s="9" t="n">
        <v>1</v>
      </c>
      <c r="M35" s="11" t="inlineStr">
        <is>
          <t>Gembok dari Kata-kata</t>
        </is>
      </c>
      <c r="N35" s="9" t="inlineStr">
        <is>
          <t>Anomali</t>
        </is>
      </c>
      <c r="O35" s="5" t="inlineStr">
        <is>
          <t>“Gembok ini tidak terbuat dari besi, tapi dari catatan.”</t>
        </is>
      </c>
      <c r="P35" s="5" t="inlineStr">
        <is>
          <t>Kata RoPA, DPIA, bukti, log, tenggat… berkumpul → membentuk gembok → logo → CTA</t>
        </is>
      </c>
      <c r="Q35" s="24" t="n">
        <v>0.3</v>
      </c>
      <c r="R35" s="27">
        <f>IF(Q35="","",1-Q35)</f>
        <v/>
      </c>
      <c r="S35" s="5">
        <f>IF(Q35="","—",TEXT(1-Q35,"0%")&amp;" edukasi · "&amp;TEXT(Q35,"0%")&amp;" meme")</f>
        <v/>
      </c>
      <c r="T35" s="5" t="inlineStr">
        <is>
          <t>Platform</t>
        </is>
      </c>
      <c r="U35" s="5" t="inlineStr">
        <is>
          <t>—</t>
        </is>
      </c>
      <c r="V35" s="9" t="inlineStr">
        <is>
          <t>10 dtk</t>
        </is>
      </c>
      <c r="W35" s="5" t="inlineStr">
        <is>
          <t>Baru (bumper)</t>
        </is>
      </c>
      <c r="X35" s="5" t="inlineStr">
        <is>
          <t>Kata ditempatkan di titik-titik siluet (dihitung sekali), muncul bergelombang.</t>
        </is>
      </c>
      <c r="Y35" s="5" t="inlineStr"/>
      <c r="Z35" s="5">
        <f>IF(OR(E35="Bisa",E35="Berat"),1,0)</f>
        <v/>
      </c>
      <c r="AA35" s="5">
        <f>IF(Z35=1,J35-ROW()/100000,"")</f>
        <v/>
      </c>
      <c r="AB35" s="5">
        <f>B35&amp;"|"&amp;K35</f>
        <v/>
      </c>
    </row>
    <row r="36" ht="78" customHeight="1">
      <c r="A36" s="19" t="inlineStr">
        <is>
          <t>TY35</t>
        </is>
      </c>
      <c r="B36" s="20" t="inlineStr">
        <is>
          <t>Tipografi</t>
        </is>
      </c>
      <c r="C36" s="21" t="inlineStr">
        <is>
          <t>ASCII art</t>
        </is>
      </c>
      <c r="D36" s="20" t="inlineStr">
        <is>
          <t>Gambar dari karakter ketik (#, /, |) di layar terminal.</t>
        </is>
      </c>
      <c r="E36" s="22" t="inlineStr">
        <is>
          <t>Sudah</t>
        </is>
      </c>
      <c r="F36" s="19" t="inlineStr">
        <is>
          <t>TY35</t>
        </is>
      </c>
      <c r="G36" s="19" t="n">
        <v>2</v>
      </c>
      <c r="H36" s="19" t="n">
        <v>7</v>
      </c>
      <c r="I36" s="19" t="n">
        <v>6</v>
      </c>
      <c r="J36" s="23">
        <f>IF(E36="Tidak cocok","",ROUND(H36*W_GAYA_WOW+I36*W_GAYA_MEREK+(11-2*G36)*W_GAYA_MUDAH,1))</f>
        <v/>
      </c>
      <c r="K36" s="19">
        <f>IF(Z36=1,COUNTIFS($B$2:$B$254,B36,$AA$2:$AA$254,"&gt;"&amp;AA36)+1,"—")</f>
        <v/>
      </c>
      <c r="L36" s="19" t="n">
        <v>1</v>
      </c>
      <c r="M36" s="21" t="inlineStr">
        <is>
          <t>README.md</t>
        </is>
      </c>
      <c r="N36" s="19" t="inlineStr">
        <is>
          <t>Reverse psychology</t>
        </is>
      </c>
      <c r="O36" s="20" t="inlineStr">
        <is>
          <t>“Jangan baca README ini kalau integrasimu sudah mencatat bukti persetujuan.”</t>
        </is>
      </c>
      <c r="P36" s="20" t="inlineStr">
        <is>
          <t>README ASCII → 3 langkah integrasi (sematkan, API, webhook) → gembok ASCII → CTA</t>
        </is>
      </c>
      <c r="Q36" s="24" t="n">
        <v>0.7</v>
      </c>
      <c r="R36" s="25">
        <f>IF(Q36="","",1-Q36)</f>
        <v/>
      </c>
      <c r="S36" s="20">
        <f>IF(Q36="","—",TEXT(1-Q36,"0%")&amp;" edukasi · "&amp;TEXT(Q36,"0%")&amp;" meme")</f>
        <v/>
      </c>
      <c r="T36" s="20" t="inlineStr">
        <is>
          <t>Consent, DSR (API &amp; webhook)</t>
        </is>
      </c>
      <c r="U36" s="20" t="inlineStr">
        <is>
          <t>consent-detail</t>
        </is>
      </c>
      <c r="V36" s="19" t="inlineStr">
        <is>
          <t>15 dtk</t>
        </is>
      </c>
      <c r="W36" s="20" t="inlineStr">
        <is>
          <t>Baru (audiens developer)</t>
        </is>
      </c>
      <c r="X36" s="20" t="inlineStr">
        <is>
          <t>Blok &lt;pre&gt; monospace; baris muncul dari atas; karakter berganti membentuk gambar.</t>
        </is>
      </c>
      <c r="Y36" s="20" t="inlineStr"/>
      <c r="Z36" s="20">
        <f>IF(OR(E36="Bisa",E36="Berat"),1,0)</f>
        <v/>
      </c>
      <c r="AA36" s="20">
        <f>IF(Z36=1,J36-ROW()/100000,"")</f>
        <v/>
      </c>
      <c r="AB36" s="20">
        <f>B36&amp;"|"&amp;K36</f>
        <v/>
      </c>
    </row>
    <row r="37" ht="78" customHeight="1">
      <c r="A37" s="9" t="inlineStr">
        <is>
          <t>TY36</t>
        </is>
      </c>
      <c r="B37" s="5" t="inlineStr">
        <is>
          <t>Tipografi</t>
        </is>
      </c>
      <c r="C37" s="11" t="inlineStr">
        <is>
          <t>Subtitle saja di layar hitam</t>
        </is>
      </c>
      <c r="D37" s="5" t="inlineStr">
        <is>
          <t>Layar hitam total; hanya subtitle dan suara (langkah kaki, pintu, ketukan).</t>
        </is>
      </c>
      <c r="E37" s="22" t="inlineStr">
        <is>
          <t>Sudah</t>
        </is>
      </c>
      <c r="F37" s="9" t="inlineStr">
        <is>
          <t>TY36</t>
        </is>
      </c>
      <c r="G37" s="9" t="n">
        <v>1</v>
      </c>
      <c r="H37" s="9" t="n">
        <v>8</v>
      </c>
      <c r="I37" s="9" t="n">
        <v>8</v>
      </c>
      <c r="J37" s="26">
        <f>IF(E37="Tidak cocok","",ROUND(H37*W_GAYA_WOW+I37*W_GAYA_MEREK+(11-2*G37)*W_GAYA_MUDAH,1))</f>
        <v/>
      </c>
      <c r="K37" s="9">
        <f>IF(Z37=1,COUNTIFS($B$2:$B$254,B37,$AA$2:$AA$254,"&gt;"&amp;AA37)+1,"—")</f>
        <v/>
      </c>
      <c r="L37" s="9" t="n">
        <v>1</v>
      </c>
      <c r="M37" s="11" t="inlineStr">
        <is>
          <t>Selamat Pagi, Kami dari Tim Audit</t>
        </is>
      </c>
      <c r="N37" s="9" t="inlineStr">
        <is>
          <t>Anomali</t>
        </is>
      </c>
      <c r="O37" s="5" t="inlineStr">
        <is>
          <t>“[pintu diketuk] Selamat pagi, kami dari tim audit.”</t>
        </is>
      </c>
      <c r="P37" s="5" t="inlineStr">
        <is>
          <t>Dialog tanpa gambar → “[hening panjang]” → layar menyala: dasbor kepatuhan → CTA</t>
        </is>
      </c>
      <c r="Q37" s="24" t="n">
        <v>0.3</v>
      </c>
      <c r="R37" s="27">
        <f>IF(Q37="","",1-Q37)</f>
        <v/>
      </c>
      <c r="S37" s="5">
        <f>IF(Q37="","—",TEXT(1-Q37,"0%")&amp;" edukasi · "&amp;TEXT(Q37,"0%")&amp;" meme")</f>
        <v/>
      </c>
      <c r="T37" s="5" t="inlineStr">
        <is>
          <t>Dasbor, GAP Assessment</t>
        </is>
      </c>
      <c r="U37" s="5" t="inlineStr">
        <is>
          <t>dashboard</t>
        </is>
      </c>
      <c r="V37" s="9" t="inlineStr">
        <is>
          <t>15 dtk</t>
        </is>
      </c>
      <c r="W37" s="5" t="inlineStr">
        <is>
          <t>Baru (turunan A16)</t>
        </is>
      </c>
      <c r="X37" s="5" t="inlineStr">
        <is>
          <t>Teks subtitle + keterangan suara dalam kurung; desain suara jadi “gambar”.</t>
        </is>
      </c>
      <c r="Y37" s="5" t="inlineStr">
        <is>
          <t>Produksi paling ringan.</t>
        </is>
      </c>
      <c r="Z37" s="5">
        <f>IF(OR(E37="Bisa",E37="Berat"),1,0)</f>
        <v/>
      </c>
      <c r="AA37" s="5">
        <f>IF(Z37=1,J37-ROW()/100000,"")</f>
        <v/>
      </c>
      <c r="AB37" s="5">
        <f>B37&amp;"|"&amp;K37</f>
        <v/>
      </c>
    </row>
    <row r="38" ht="78" customHeight="1">
      <c r="A38" s="19" t="inlineStr">
        <is>
          <t>TY37</t>
        </is>
      </c>
      <c r="B38" s="20" t="inlineStr">
        <is>
          <t>Tipografi</t>
        </is>
      </c>
      <c r="C38" s="21" t="inlineStr">
        <is>
          <t>Tulisan tangan (write-on)</t>
        </is>
      </c>
      <c r="D38" s="20" t="inlineStr">
        <is>
          <t>Kalimat ditulis tangan huruf demi huruf, seperti catatan di kertas.</t>
        </is>
      </c>
      <c r="E38" s="22" t="inlineStr">
        <is>
          <t>Sudah</t>
        </is>
      </c>
      <c r="F38" s="19" t="inlineStr">
        <is>
          <t>TY37</t>
        </is>
      </c>
      <c r="G38" s="19" t="n">
        <v>2</v>
      </c>
      <c r="H38" s="19" t="n">
        <v>6</v>
      </c>
      <c r="I38" s="19" t="n">
        <v>8</v>
      </c>
      <c r="J38" s="23">
        <f>IF(E38="Tidak cocok","",ROUND(H38*W_GAYA_WOW+I38*W_GAYA_MEREK+(11-2*G38)*W_GAYA_MUDAH,1))</f>
        <v/>
      </c>
      <c r="K38" s="19">
        <f>IF(Z38=1,COUNTIFS($B$2:$B$254,B38,$AA$2:$AA$254,"&gt;"&amp;AA38)+1,"—")</f>
        <v/>
      </c>
      <c r="L38" s="19" t="n">
        <v>1</v>
      </c>
      <c r="M38" s="21" t="inlineStr">
        <is>
          <t>Catatan Kecil untuk Direksi</t>
        </is>
      </c>
      <c r="N38" s="19" t="inlineStr">
        <is>
          <t>Relate</t>
        </is>
      </c>
      <c r="O38" s="20" t="inlineStr">
        <is>
          <t>“Pak, laporannya 482 halaman. Ringkasannya satu layar.”</t>
        </is>
      </c>
      <c r="P38" s="20" t="inlineStr">
        <is>
          <t>Catatan ditulis di kertas tempel → ditempel di tumpukan laporan → dasbor satu layar → CTA</t>
        </is>
      </c>
      <c r="Q38" s="24" t="n">
        <v>0.3</v>
      </c>
      <c r="R38" s="25">
        <f>IF(Q38="","",1-Q38)</f>
        <v/>
      </c>
      <c r="S38" s="20">
        <f>IF(Q38="","—",TEXT(1-Q38,"0%")&amp;" edukasi · "&amp;TEXT(Q38,"0%")&amp;" meme")</f>
        <v/>
      </c>
      <c r="T38" s="20" t="inlineStr">
        <is>
          <t>Dasbor kepatuhan</t>
        </is>
      </c>
      <c r="U38" s="20" t="inlineStr">
        <is>
          <t>dashboard</t>
        </is>
      </c>
      <c r="V38" s="19" t="inlineStr">
        <is>
          <t>10 dtk</t>
        </is>
      </c>
      <c r="W38" s="20" t="inlineStr">
        <is>
          <t>P32 / M01</t>
        </is>
      </c>
      <c r="X38" s="20" t="inlineStr">
        <is>
          <t>Font tulisan tangan + pembuka clip-path per huruf; ujung pena mengikuti.</t>
        </is>
      </c>
      <c r="Y38" s="20" t="inlineStr">
        <is>
          <t>“482 halaman” = ilustrasi.</t>
        </is>
      </c>
      <c r="Z38" s="20">
        <f>IF(OR(E38="Bisa",E38="Berat"),1,0)</f>
        <v/>
      </c>
      <c r="AA38" s="20">
        <f>IF(Z38=1,J38-ROW()/100000,"")</f>
        <v/>
      </c>
      <c r="AB38" s="20">
        <f>B38&amp;"|"&amp;K38</f>
        <v/>
      </c>
    </row>
    <row r="39" ht="78" customHeight="1">
      <c r="A39" s="9" t="inlineStr">
        <is>
          <t>TY38</t>
        </is>
      </c>
      <c r="B39" s="5" t="inlineStr">
        <is>
          <t>Tipografi</t>
        </is>
      </c>
      <c r="C39" s="11" t="inlineStr">
        <is>
          <t>Kaligrafi kuas</t>
        </is>
      </c>
      <c r="D39" s="5" t="inlineStr">
        <is>
          <t>Satu kata digores kuas tinta tebal, dengan cipratan kecil.</t>
        </is>
      </c>
      <c r="E39" s="22" t="inlineStr">
        <is>
          <t>Sudah</t>
        </is>
      </c>
      <c r="F39" s="9" t="inlineStr">
        <is>
          <t>TY38</t>
        </is>
      </c>
      <c r="G39" s="9" t="n">
        <v>3</v>
      </c>
      <c r="H39" s="9" t="n">
        <v>8</v>
      </c>
      <c r="I39" s="9" t="n">
        <v>7</v>
      </c>
      <c r="J39" s="26">
        <f>IF(E39="Tidak cocok","",ROUND(H39*W_GAYA_WOW+I39*W_GAYA_MEREK+(11-2*G39)*W_GAYA_MUDAH,1))</f>
        <v/>
      </c>
      <c r="K39" s="9">
        <f>IF(Z39=1,COUNTIFS($B$2:$B$254,B39,$AA$2:$AA$254,"&gt;"&amp;AA39)+1,"—")</f>
        <v/>
      </c>
      <c r="L39" s="9" t="n">
        <v>1</v>
      </c>
      <c r="M39" s="11" t="inlineStr">
        <is>
          <t>Satu Kata untuk 2027</t>
        </is>
      </c>
      <c r="N39" s="9" t="inlineStr">
        <is>
          <t>Logika dipatahkan</t>
        </is>
      </c>
      <c r="O39" s="5" t="inlineStr">
        <is>
          <t>“Resolusi 2027 kantor ini cukup satu kata.”</t>
        </is>
      </c>
      <c r="P39" s="5" t="inlineStr">
        <is>
          <t>Kertas kosong → goresan kuas: RAPI → daftar langkah siap PP 33 → CTA</t>
        </is>
      </c>
      <c r="Q39" s="24" t="n">
        <v>0.5</v>
      </c>
      <c r="R39" s="27">
        <f>IF(Q39="","",1-Q39)</f>
        <v/>
      </c>
      <c r="S39" s="5">
        <f>IF(Q39="","—",TEXT(1-Q39,"0%")&amp;" edukasi · "&amp;TEXT(Q39,"0%")&amp;" meme")</f>
        <v/>
      </c>
      <c r="T39" s="5" t="inlineStr">
        <is>
          <t>GAP, program siap PP 33</t>
        </is>
      </c>
      <c r="U39" s="5" t="inlineStr">
        <is>
          <t>—</t>
        </is>
      </c>
      <c r="V39" s="9" t="inlineStr">
        <is>
          <t>10 dtk</t>
        </is>
      </c>
      <c r="W39" s="5" t="inlineStr">
        <is>
          <t>A24</t>
        </is>
      </c>
      <c r="X39" s="5" t="inlineStr">
        <is>
          <t>Masker sapuan (clip-path/mask) membuka teks; tekstur tinta dari turbulence.</t>
        </is>
      </c>
      <c r="Y39" s="5" t="inlineStr"/>
      <c r="Z39" s="5">
        <f>IF(OR(E39="Bisa",E39="Berat"),1,0)</f>
        <v/>
      </c>
      <c r="AA39" s="5">
        <f>IF(Z39=1,J39-ROW()/100000,"")</f>
        <v/>
      </c>
      <c r="AB39" s="5">
        <f>B39&amp;"|"&amp;K39</f>
        <v/>
      </c>
    </row>
    <row r="40" ht="78" customHeight="1">
      <c r="A40" s="19" t="inlineStr">
        <is>
          <t>TY39</t>
        </is>
      </c>
      <c r="B40" s="20" t="inlineStr">
        <is>
          <t>Tipografi</t>
        </is>
      </c>
      <c r="C40" s="21" t="inlineStr">
        <is>
          <t>Stensil / cat semprot</t>
        </is>
      </c>
      <c r="D40" s="20" t="inlineStr">
        <is>
          <t>Huruf stensil disemprot ke dinding; cat meluber di tepi.</t>
        </is>
      </c>
      <c r="E40" s="22" t="inlineStr">
        <is>
          <t>Sudah</t>
        </is>
      </c>
      <c r="F40" s="19" t="inlineStr">
        <is>
          <t>TY39</t>
        </is>
      </c>
      <c r="G40" s="19" t="n">
        <v>2</v>
      </c>
      <c r="H40" s="19" t="n">
        <v>7</v>
      </c>
      <c r="I40" s="19" t="n">
        <v>5</v>
      </c>
      <c r="J40" s="23">
        <f>IF(E40="Tidak cocok","",ROUND(H40*W_GAYA_WOW+I40*W_GAYA_MEREK+(11-2*G40)*W_GAYA_MUDAH,1))</f>
        <v/>
      </c>
      <c r="K40" s="19">
        <f>IF(Z40=1,COUNTIFS($B$2:$B$254,B40,$AA$2:$AA$254,"&gt;"&amp;AA40)+1,"—")</f>
        <v/>
      </c>
      <c r="L40" s="19" t="n">
        <v>1</v>
      </c>
      <c r="M40" s="21" t="inlineStr">
        <is>
          <t>Dilarang Patuh Setengah-setengah</t>
        </is>
      </c>
      <c r="N40" s="19" t="inlineStr">
        <is>
          <t>Reverse psychology</t>
        </is>
      </c>
      <c r="O40" s="20" t="inlineStr">
        <is>
          <t>“DILARANG PATUH SETENGAH-SETENGAH.”</t>
        </is>
      </c>
      <c r="P40" s="20" t="inlineStr">
        <is>
          <t>Tulisan disemprot → panah ke daftar “setengah” (RoPA ada, bukti tidak) → GAP Assessment → CTA</t>
        </is>
      </c>
      <c r="Q40" s="24" t="n">
        <v>0.8</v>
      </c>
      <c r="R40" s="25">
        <f>IF(Q40="","",1-Q40)</f>
        <v/>
      </c>
      <c r="S40" s="20">
        <f>IF(Q40="","—",TEXT(1-Q40,"0%")&amp;" edukasi · "&amp;TEXT(Q40,"0%")&amp;" meme")</f>
        <v/>
      </c>
      <c r="T40" s="20" t="inlineStr">
        <is>
          <t>GAP Assessment</t>
        </is>
      </c>
      <c r="U40" s="20" t="inlineStr">
        <is>
          <t>gap-rekomendasi</t>
        </is>
      </c>
      <c r="V40" s="19" t="inlineStr">
        <is>
          <t>10 dtk</t>
        </is>
      </c>
      <c r="W40" s="20" t="inlineStr">
        <is>
          <t>Baru</t>
        </is>
      </c>
      <c r="X40" s="20" t="inlineStr">
        <is>
          <t>Font stensil + tekstur bintik (canvas hash) + garis lelehan cat turun.</t>
        </is>
      </c>
      <c r="Y40" s="20" t="inlineStr">
        <is>
          <t>Nada keras; cocok organik, bukan iklan korporat.</t>
        </is>
      </c>
      <c r="Z40" s="20">
        <f>IF(OR(E40="Bisa",E40="Berat"),1,0)</f>
        <v/>
      </c>
      <c r="AA40" s="20">
        <f>IF(Z40=1,J40-ROW()/100000,"")</f>
        <v/>
      </c>
      <c r="AB40" s="20">
        <f>B40&amp;"|"&amp;K40</f>
        <v/>
      </c>
    </row>
    <row r="41" ht="78" customHeight="1">
      <c r="A41" s="9" t="inlineStr">
        <is>
          <t>TY40</t>
        </is>
      </c>
      <c r="B41" s="5" t="inlineStr">
        <is>
          <t>Tipografi</t>
        </is>
      </c>
      <c r="C41" s="11" t="inlineStr">
        <is>
          <t>Letterpress / poster huruf kayu</t>
        </is>
      </c>
      <c r="D41" s="5" t="inlineStr">
        <is>
          <t>Poster pengumuman jadul: huruf kayu besar, tinta tidak rata.</t>
        </is>
      </c>
      <c r="E41" s="22" t="inlineStr">
        <is>
          <t>Sudah</t>
        </is>
      </c>
      <c r="F41" s="9" t="inlineStr">
        <is>
          <t>TY40</t>
        </is>
      </c>
      <c r="G41" s="9" t="n">
        <v>2</v>
      </c>
      <c r="H41" s="9" t="n">
        <v>7</v>
      </c>
      <c r="I41" s="9" t="n">
        <v>7</v>
      </c>
      <c r="J41" s="26">
        <f>IF(E41="Tidak cocok","",ROUND(H41*W_GAYA_WOW+I41*W_GAYA_MEREK+(11-2*G41)*W_GAYA_MUDAH,1))</f>
        <v/>
      </c>
      <c r="K41" s="9">
        <f>IF(Z41=1,COUNTIFS($B$2:$B$254,B41,$AA$2:$AA$254,"&gt;"&amp;AA41)+1,"—")</f>
        <v/>
      </c>
      <c r="L41" s="9" t="n">
        <v>1</v>
      </c>
      <c r="M41" s="11" t="inlineStr">
        <is>
          <t>PENGUMUMAN</t>
        </is>
      </c>
      <c r="N41" s="9" t="inlineStr">
        <is>
          <t>Anomali</t>
        </is>
      </c>
      <c r="O41" s="5" t="inlineStr">
        <is>
          <t>“PENGUMUMAN: mulai 16 Januari 2027, ‘nanti saja’ tidak berlaku.”</t>
        </is>
      </c>
      <c r="P41" s="5" t="inlineStr">
        <is>
          <t>Poster dicetak baris demi baris → tanggal → program siap PP 33 → CTA</t>
        </is>
      </c>
      <c r="Q41" s="24" t="n">
        <v>0.5</v>
      </c>
      <c r="R41" s="27">
        <f>IF(Q41="","",1-Q41)</f>
        <v/>
      </c>
      <c r="S41" s="5">
        <f>IF(Q41="","—",TEXT(1-Q41,"0%")&amp;" edukasi · "&amp;TEXT(Q41,"0%")&amp;" meme")</f>
        <v/>
      </c>
      <c r="T41" s="5" t="inlineStr">
        <is>
          <t>Program siap PP 33</t>
        </is>
      </c>
      <c r="U41" s="5" t="inlineStr">
        <is>
          <t>—</t>
        </is>
      </c>
      <c r="V41" s="9" t="inlineStr">
        <is>
          <t>10 dtk</t>
        </is>
      </c>
      <c r="W41" s="5" t="inlineStr">
        <is>
          <t>A23 / N08</t>
        </is>
      </c>
      <c r="X41" s="5" t="inlineStr">
        <is>
          <t>Beberapa font display + tekstur tinta (mask bintik), masuk seperti dicap.</t>
        </is>
      </c>
      <c r="Y41" s="5" t="inlineStr"/>
      <c r="Z41" s="5">
        <f>IF(OR(E41="Bisa",E41="Berat"),1,0)</f>
        <v/>
      </c>
      <c r="AA41" s="5">
        <f>IF(Z41=1,J41-ROW()/100000,"")</f>
        <v/>
      </c>
      <c r="AB41" s="5">
        <f>B41&amp;"|"&amp;K41</f>
        <v/>
      </c>
    </row>
    <row r="42" ht="78" customHeight="1">
      <c r="A42" s="19" t="inlineStr">
        <is>
          <t>TY41</t>
        </is>
      </c>
      <c r="B42" s="20" t="inlineStr">
        <is>
          <t>Tipografi</t>
        </is>
      </c>
      <c r="C42" s="21" t="inlineStr">
        <is>
          <t>Label maker (pita timbul)</t>
        </is>
      </c>
      <c r="D42" s="20" t="inlineStr">
        <is>
          <t>Pita label timbul hitam-putih ditempel di benda-benda.</t>
        </is>
      </c>
      <c r="E42" s="22" t="inlineStr">
        <is>
          <t>Sudah</t>
        </is>
      </c>
      <c r="F42" s="19" t="inlineStr">
        <is>
          <t>TY41</t>
        </is>
      </c>
      <c r="G42" s="19" t="n">
        <v>2</v>
      </c>
      <c r="H42" s="19" t="n">
        <v>8</v>
      </c>
      <c r="I42" s="19" t="n">
        <v>7</v>
      </c>
      <c r="J42" s="23">
        <f>IF(E42="Tidak cocok","",ROUND(H42*W_GAYA_WOW+I42*W_GAYA_MEREK+(11-2*G42)*W_GAYA_MUDAH,1))</f>
        <v/>
      </c>
      <c r="K42" s="19">
        <f>IF(Z42=1,COUNTIFS($B$2:$B$254,B42,$AA$2:$AA$254,"&gt;"&amp;AA42)+1,"—")</f>
        <v/>
      </c>
      <c r="L42" s="19" t="n">
        <v>1</v>
      </c>
      <c r="M42" s="21" t="inlineStr">
        <is>
          <t>Beri Label Semuanya</t>
        </is>
      </c>
      <c r="N42" s="19" t="inlineStr">
        <is>
          <t>Relate</t>
        </is>
      </c>
      <c r="O42" s="20" t="inlineStr">
        <is>
          <t>“Coba beri label semua data di kantormu. Satu per satu.”</t>
        </is>
      </c>
      <c r="P42" s="20" t="inlineStr">
        <is>
          <t>Label DATA PRIBADI ditempel manual, makin kewalahan → pemindaian memberi label otomatis (umum/spesifik) → CTA</t>
        </is>
      </c>
      <c r="Q42" s="24" t="n">
        <v>0.5</v>
      </c>
      <c r="R42" s="25">
        <f>IF(Q42="","",1-Q42)</f>
        <v/>
      </c>
      <c r="S42" s="20">
        <f>IF(Q42="","—",TEXT(1-Q42,"0%")&amp;" edukasi · "&amp;TEXT(Q42,"0%")&amp;" meme")</f>
        <v/>
      </c>
      <c r="T42" s="20" t="inlineStr">
        <is>
          <t>Data Discovery</t>
        </is>
      </c>
      <c r="U42" s="20" t="inlineStr">
        <is>
          <t>—</t>
        </is>
      </c>
      <c r="V42" s="19" t="inlineStr">
        <is>
          <t>15 dtk</t>
        </is>
      </c>
      <c r="W42" s="20" t="inlineStr">
        <is>
          <t>A11 / M15</t>
        </is>
      </c>
      <c r="X42" s="20" t="inlineStr">
        <is>
          <t>Pita hitam dengan huruf timbul (text-shadow), keluar dari alat lalu ditempel miring.</t>
        </is>
      </c>
      <c r="Y42" s="20" t="inlineStr"/>
      <c r="Z42" s="20">
        <f>IF(OR(E42="Bisa",E42="Berat"),1,0)</f>
        <v/>
      </c>
      <c r="AA42" s="20">
        <f>IF(Z42=1,J42-ROW()/100000,"")</f>
        <v/>
      </c>
      <c r="AB42" s="20">
        <f>B42&amp;"|"&amp;K42</f>
        <v/>
      </c>
    </row>
    <row r="43" ht="78" customHeight="1">
      <c r="A43" s="9" t="inlineStr">
        <is>
          <t>TY42</t>
        </is>
      </c>
      <c r="B43" s="5" t="inlineStr">
        <is>
          <t>Tipografi</t>
        </is>
      </c>
      <c r="C43" s="11" t="inlineStr">
        <is>
          <t>Rambu &amp; marka jalan</t>
        </is>
      </c>
      <c r="D43" s="5" t="inlineStr">
        <is>
          <t>Rambu lalu lintas dan marka jalan dengan pesan kepatuhan.</t>
        </is>
      </c>
      <c r="E43" s="22" t="inlineStr">
        <is>
          <t>Sudah</t>
        </is>
      </c>
      <c r="F43" s="9" t="inlineStr">
        <is>
          <t>TY42</t>
        </is>
      </c>
      <c r="G43" s="9" t="n">
        <v>2</v>
      </c>
      <c r="H43" s="9" t="n">
        <v>7</v>
      </c>
      <c r="I43" s="9" t="n">
        <v>7</v>
      </c>
      <c r="J43" s="26">
        <f>IF(E43="Tidak cocok","",ROUND(H43*W_GAYA_WOW+I43*W_GAYA_MEREK+(11-2*G43)*W_GAYA_MUDAH,1))</f>
        <v/>
      </c>
      <c r="K43" s="9">
        <f>IF(Z43=1,COUNTIFS($B$2:$B$254,B43,$AA$2:$AA$254,"&gt;"&amp;AA43)+1,"—")</f>
        <v/>
      </c>
      <c r="L43" s="9" t="n">
        <v>1</v>
      </c>
      <c r="M43" s="11" t="inlineStr">
        <is>
          <t>Rambu-rambu Data Pribadi</t>
        </is>
      </c>
      <c r="N43" s="9" t="inlineStr">
        <is>
          <t>Relate</t>
        </is>
      </c>
      <c r="O43" s="5" t="inlineStr">
        <is>
          <t>“Kalau kewajiban data pribadi dipasang seperti rambu jalan.”</t>
        </is>
      </c>
      <c r="P43" s="5" t="inlineStr">
        <is>
          <t>Rambu: WAJIB CATAT · HATI-HATI DATA SPESIFIK · LAPOR 3×24 JAM → peta modul Nexus → CTA</t>
        </is>
      </c>
      <c r="Q43" s="24" t="n">
        <v>0.5</v>
      </c>
      <c r="R43" s="27">
        <f>IF(Q43="","",1-Q43)</f>
        <v/>
      </c>
      <c r="S43" s="5">
        <f>IF(Q43="","—",TEXT(1-Q43,"0%")&amp;" edukasi · "&amp;TEXT(Q43,"0%")&amp;" meme")</f>
        <v/>
      </c>
      <c r="T43" s="5" t="inlineStr">
        <is>
          <t>Platform, Insiden</t>
        </is>
      </c>
      <c r="U43" s="5" t="inlineStr">
        <is>
          <t>—</t>
        </is>
      </c>
      <c r="V43" s="9" t="inlineStr">
        <is>
          <t>15 dtk</t>
        </is>
      </c>
      <c r="W43" s="5" t="inlineStr">
        <is>
          <t>Baru</t>
        </is>
      </c>
      <c r="X43" s="5" t="inlineStr">
        <is>
          <t>Bentuk rambu SVG (lingkaran, segitiga, belah ketupat) + huruf tebal; jalan bergerak.</t>
        </is>
      </c>
      <c r="Y43" s="5" t="inlineStr">
        <is>
          <t>Bentuk rambu umum; tanpa lambang instansi.</t>
        </is>
      </c>
      <c r="Z43" s="5">
        <f>IF(OR(E43="Bisa",E43="Berat"),1,0)</f>
        <v/>
      </c>
      <c r="AA43" s="5">
        <f>IF(Z43=1,J43-ROW()/100000,"")</f>
        <v/>
      </c>
      <c r="AB43" s="5">
        <f>B43&amp;"|"&amp;K43</f>
        <v/>
      </c>
    </row>
    <row r="44" ht="78" customHeight="1">
      <c r="A44" s="19" t="inlineStr">
        <is>
          <t>TY43</t>
        </is>
      </c>
      <c r="B44" s="20" t="inlineStr">
        <is>
          <t>Tipografi</t>
        </is>
      </c>
      <c r="C44" s="21" t="inlineStr">
        <is>
          <t>Spanduk warung tenda</t>
        </is>
      </c>
      <c r="D44" s="20" t="inlineStr">
        <is>
          <t>Huruf warna-warni tebal bergradasi seperti spanduk warung kaki lima.</t>
        </is>
      </c>
      <c r="E44" s="22" t="inlineStr">
        <is>
          <t>Sudah</t>
        </is>
      </c>
      <c r="F44" s="19" t="inlineStr">
        <is>
          <t>TY43</t>
        </is>
      </c>
      <c r="G44" s="19" t="n">
        <v>3</v>
      </c>
      <c r="H44" s="19" t="n">
        <v>9</v>
      </c>
      <c r="I44" s="19" t="n">
        <v>6</v>
      </c>
      <c r="J44" s="23">
        <f>IF(E44="Tidak cocok","",ROUND(H44*W_GAYA_WOW+I44*W_GAYA_MEREK+(11-2*G44)*W_GAYA_MUDAH,1))</f>
        <v/>
      </c>
      <c r="K44" s="19">
        <f>IF(Z44=1,COUNTIFS($B$2:$B$254,B44,$AA$2:$AA$254,"&gt;"&amp;AA44)+1,"—")</f>
        <v/>
      </c>
      <c r="L44" s="19" t="n">
        <v>1</v>
      </c>
      <c r="M44" s="21" t="inlineStr">
        <is>
          <t>Warung Kepatuhan</t>
        </is>
      </c>
      <c r="N44" s="19" t="inlineStr">
        <is>
          <t>Relate</t>
        </is>
      </c>
      <c r="O44" s="20" t="inlineStr">
        <is>
          <t>“Kalau urusan data pribadi buka warung tenda: SEDIA RoPA, DPIA, DSR. Buka 24 jam.”</t>
        </is>
      </c>
      <c r="P44" s="20" t="inlineStr">
        <is>
          <t>Spanduk terbentang → “menu” modul → “bisa dibungkus” (ekspor laporan) → CTA</t>
        </is>
      </c>
      <c r="Q44" s="24" t="n">
        <v>0.7</v>
      </c>
      <c r="R44" s="25">
        <f>IF(Q44="","",1-Q44)</f>
        <v/>
      </c>
      <c r="S44" s="20">
        <f>IF(Q44="","—",TEXT(1-Q44,"0%")&amp;" edukasi · "&amp;TEXT(Q44,"0%")&amp;" meme")</f>
        <v/>
      </c>
      <c r="T44" s="20" t="inlineStr">
        <is>
          <t>Platform</t>
        </is>
      </c>
      <c r="U44" s="20" t="inlineStr">
        <is>
          <t>—</t>
        </is>
      </c>
      <c r="V44" s="19" t="inlineStr">
        <is>
          <t>15 dtk</t>
        </is>
      </c>
      <c r="W44" s="20" t="inlineStr">
        <is>
          <t>Baru (lokal)</t>
        </is>
      </c>
      <c r="X44" s="20" t="inlineStr">
        <is>
          <t>Huruf display + gradasi + garis tepi ganda; kain bergelombang (skew sinus).</t>
        </is>
      </c>
      <c r="Y44" s="20" t="inlineStr">
        <is>
          <t>Gaya huruf umum; jangan meniru spanduk warung tertentu.</t>
        </is>
      </c>
      <c r="Z44" s="20">
        <f>IF(OR(E44="Bisa",E44="Berat"),1,0)</f>
        <v/>
      </c>
      <c r="AA44" s="20">
        <f>IF(Z44=1,J44-ROW()/100000,"")</f>
        <v/>
      </c>
      <c r="AB44" s="20">
        <f>B44&amp;"|"&amp;K44</f>
        <v/>
      </c>
    </row>
    <row r="45" ht="78" customHeight="1">
      <c r="A45" s="9" t="inlineStr">
        <is>
          <t>TY44</t>
        </is>
      </c>
      <c r="B45" s="5" t="inlineStr">
        <is>
          <t>Tipografi</t>
        </is>
      </c>
      <c r="C45" s="11" t="inlineStr">
        <is>
          <t>Papan huruf (letter board)</t>
        </is>
      </c>
      <c r="D45" s="5" t="inlineStr">
        <is>
          <t>Papan beralur dengan huruf plastik putih yang dipasang satu-satu.</t>
        </is>
      </c>
      <c r="E45" s="22" t="inlineStr">
        <is>
          <t>Sudah</t>
        </is>
      </c>
      <c r="F45" s="9" t="inlineStr">
        <is>
          <t>TY44</t>
        </is>
      </c>
      <c r="G45" s="9" t="n">
        <v>2</v>
      </c>
      <c r="H45" s="9" t="n">
        <v>7</v>
      </c>
      <c r="I45" s="9" t="n">
        <v>7</v>
      </c>
      <c r="J45" s="26">
        <f>IF(E45="Tidak cocok","",ROUND(H45*W_GAYA_WOW+I45*W_GAYA_MEREK+(11-2*G45)*W_GAYA_MUDAH,1))</f>
        <v/>
      </c>
      <c r="K45" s="9">
        <f>IF(Z45=1,COUNTIFS($B$2:$B$254,B45,$AA$2:$AA$254,"&gt;"&amp;AA45)+1,"—")</f>
        <v/>
      </c>
      <c r="L45" s="9" t="n">
        <v>1</v>
      </c>
      <c r="M45" s="11" t="inlineStr">
        <is>
          <t>Sedang Tayang</t>
        </is>
      </c>
      <c r="N45" s="9" t="inlineStr">
        <is>
          <t>Relate</t>
        </is>
      </c>
      <c r="O45" s="5" t="inlineStr">
        <is>
          <t>“SEDANG TAYANG: AUDIT. Tanpa gladi resik.”</t>
        </is>
      </c>
      <c r="P45" s="5" t="inlineStr">
        <is>
          <t>Huruf dipasang → judul berganti: “SEGERA: FIRE DRILL” → simulasi → CTA</t>
        </is>
      </c>
      <c r="Q45" s="24" t="n">
        <v>0.5</v>
      </c>
      <c r="R45" s="27">
        <f>IF(Q45="","",1-Q45)</f>
        <v/>
      </c>
      <c r="S45" s="5">
        <f>IF(Q45="","—",TEXT(1-Q45,"0%")&amp;" edukasi · "&amp;TEXT(Q45,"0%")&amp;" meme")</f>
        <v/>
      </c>
      <c r="T45" s="5" t="inlineStr">
        <is>
          <t>Simulasi &amp; Fire Drill</t>
        </is>
      </c>
      <c r="U45" s="5" t="inlineStr">
        <is>
          <t>fire-drill-header</t>
        </is>
      </c>
      <c r="V45" s="9" t="inlineStr">
        <is>
          <t>10 dtk</t>
        </is>
      </c>
      <c r="W45" s="5" t="inlineStr">
        <is>
          <t>M12</t>
        </is>
      </c>
      <c r="X45" s="5" t="inlineStr">
        <is>
          <t>Huruf masuk ke alur papan dengan bunyi klik; beberapa huruf miring.</t>
        </is>
      </c>
      <c r="Y45" s="5" t="inlineStr"/>
      <c r="Z45" s="5">
        <f>IF(OR(E45="Bisa",E45="Berat"),1,0)</f>
        <v/>
      </c>
      <c r="AA45" s="5">
        <f>IF(Z45=1,J45-ROW()/100000,"")</f>
        <v/>
      </c>
      <c r="AB45" s="5">
        <f>B45&amp;"|"&amp;K45</f>
        <v/>
      </c>
    </row>
    <row r="46" ht="78" customHeight="1">
      <c r="A46" s="19" t="inlineStr">
        <is>
          <t>TY45</t>
        </is>
      </c>
      <c r="B46" s="20" t="inlineStr">
        <is>
          <t>Tipografi</t>
        </is>
      </c>
      <c r="C46" s="21" t="inlineStr">
        <is>
          <t>Tes mata (papan huruf mengecil)</t>
        </is>
      </c>
      <c r="D46" s="20" t="inlineStr">
        <is>
          <t>Papan tes mata: huruf besar di atas, makin kecil ke bawah.</t>
        </is>
      </c>
      <c r="E46" s="22" t="inlineStr">
        <is>
          <t>Sudah</t>
        </is>
      </c>
      <c r="F46" s="19" t="inlineStr">
        <is>
          <t>TY45</t>
        </is>
      </c>
      <c r="G46" s="19" t="n">
        <v>1</v>
      </c>
      <c r="H46" s="19" t="n">
        <v>9</v>
      </c>
      <c r="I46" s="19" t="n">
        <v>9</v>
      </c>
      <c r="J46" s="23">
        <f>IF(E46="Tidak cocok","",ROUND(H46*W_GAYA_WOW+I46*W_GAYA_MEREK+(11-2*G46)*W_GAYA_MUDAH,1))</f>
        <v/>
      </c>
      <c r="K46" s="19">
        <f>IF(Z46=1,COUNTIFS($B$2:$B$254,B46,$AA$2:$AA$254,"&gt;"&amp;AA46)+1,"—")</f>
        <v/>
      </c>
      <c r="L46" s="19" t="n">
        <v>1</v>
      </c>
      <c r="M46" s="21" t="inlineStr">
        <is>
          <t>Baca Baris Paling Bawah</t>
        </is>
      </c>
      <c r="N46" s="19" t="inlineStr">
        <is>
          <t>Reverse psychology</t>
        </is>
      </c>
      <c r="O46" s="20" t="inlineStr">
        <is>
          <t>“Coba baca baris paling bawah. Itu syarat yang baru kamu setujui.”</t>
        </is>
      </c>
      <c r="P46" s="20" t="inlineStr">
        <is>
          <t>Papan tes mata berisi kalimat persetujuan → baris bawah tak terbaca → versi jelas &amp; aksesibel → CTA</t>
        </is>
      </c>
      <c r="Q46" s="24" t="n">
        <v>0.3</v>
      </c>
      <c r="R46" s="25">
        <f>IF(Q46="","",1-Q46)</f>
        <v/>
      </c>
      <c r="S46" s="20">
        <f>IF(Q46="","—",TEXT(1-Q46,"0%")&amp;" edukasi · "&amp;TEXT(Q46,"0%")&amp;" meme")</f>
        <v/>
      </c>
      <c r="T46" s="20" t="inlineStr">
        <is>
          <t>Inclusive Privacy, Consent</t>
        </is>
      </c>
      <c r="U46" s="20" t="inlineStr">
        <is>
          <t>inclusive-privacy</t>
        </is>
      </c>
      <c r="V46" s="19" t="inlineStr">
        <is>
          <t>15 dtk</t>
        </is>
      </c>
      <c r="W46" s="20" t="inlineStr">
        <is>
          <t>M10 / A32</t>
        </is>
      </c>
      <c r="X46" s="20" t="inlineStr">
        <is>
          <t>Baris teks dengan ukuran menurun; penunjuk bergerak turun; blur bertambah.</t>
        </is>
      </c>
      <c r="Y46" s="20" t="inlineStr"/>
      <c r="Z46" s="20">
        <f>IF(OR(E46="Bisa",E46="Berat"),1,0)</f>
        <v/>
      </c>
      <c r="AA46" s="20">
        <f>IF(Z46=1,J46-ROW()/100000,"")</f>
        <v/>
      </c>
      <c r="AB46" s="20">
        <f>B46&amp;"|"&amp;K46</f>
        <v/>
      </c>
    </row>
    <row r="47" ht="78" customHeight="1">
      <c r="A47" s="9" t="inlineStr">
        <is>
          <t>TY46</t>
        </is>
      </c>
      <c r="B47" s="5" t="inlineStr">
        <is>
          <t>Tipografi</t>
        </is>
      </c>
      <c r="C47" s="11" t="inlineStr">
        <is>
          <t>Tulisan kecil (fine print) zoom</t>
        </is>
      </c>
      <c r="D47" s="5" t="inlineStr">
        <is>
          <t>Kamera menyelam ke tulisan super kecil di pojok halaman.</t>
        </is>
      </c>
      <c r="E47" s="22" t="inlineStr">
        <is>
          <t>Sudah</t>
        </is>
      </c>
      <c r="F47" s="9" t="inlineStr">
        <is>
          <t>TY46</t>
        </is>
      </c>
      <c r="G47" s="9" t="n">
        <v>2</v>
      </c>
      <c r="H47" s="9" t="n">
        <v>8</v>
      </c>
      <c r="I47" s="9" t="n">
        <v>8</v>
      </c>
      <c r="J47" s="26">
        <f>IF(E47="Tidak cocok","",ROUND(H47*W_GAYA_WOW+I47*W_GAYA_MEREK+(11-2*G47)*W_GAYA_MUDAH,1))</f>
        <v/>
      </c>
      <c r="K47" s="9">
        <f>IF(Z47=1,COUNTIFS($B$2:$B$254,B47,$AA$2:$AA$254,"&gt;"&amp;AA47)+1,"—")</f>
        <v/>
      </c>
      <c r="L47" s="9" t="n">
        <v>1</v>
      </c>
      <c r="M47" s="11" t="inlineStr">
        <is>
          <t>Tanda Bintang</t>
        </is>
      </c>
      <c r="N47" s="9" t="inlineStr">
        <is>
          <t>Anomali</t>
        </is>
      </c>
      <c r="O47" s="5" t="inlineStr">
        <is>
          <t>“Pelanggan sudah klik ‘Setuju’. Pertanyaannya: bisa kamu buktikan?”</t>
        </is>
      </c>
      <c r="P47" s="5" t="inlineStr">
        <is>
          <t>Tombol Setuju → zoom ke tanda bintang kecil → “bukti: ada/tidak?” → log persetujuan per subjek → CTA</t>
        </is>
      </c>
      <c r="Q47" s="24" t="n">
        <v>0.3</v>
      </c>
      <c r="R47" s="27">
        <f>IF(Q47="","",1-Q47)</f>
        <v/>
      </c>
      <c r="S47" s="5">
        <f>IF(Q47="","—",TEXT(1-Q47,"0%")&amp;" edukasi · "&amp;TEXT(Q47,"0%")&amp;" meme")</f>
        <v/>
      </c>
      <c r="T47" s="5" t="inlineStr">
        <is>
          <t>Consent (log &amp; bukti)</t>
        </is>
      </c>
      <c r="U47" s="5" t="inlineStr">
        <is>
          <t>consent-detail</t>
        </is>
      </c>
      <c r="V47" s="9" t="inlineStr">
        <is>
          <t>15 dtk</t>
        </is>
      </c>
      <c r="W47" s="5" t="inlineStr">
        <is>
          <t>M08 / P07</t>
        </is>
      </c>
      <c r="X47" s="5" t="inlineStr">
        <is>
          <t>Zoom berkelanjutan (skala eksponensial) ke teks mikro; ketajaman muncul bertahap.</t>
        </is>
      </c>
      <c r="Y47" s="5" t="inlineStr"/>
      <c r="Z47" s="5">
        <f>IF(OR(E47="Bisa",E47="Berat"),1,0)</f>
        <v/>
      </c>
      <c r="AA47" s="5">
        <f>IF(Z47=1,J47-ROW()/100000,"")</f>
        <v/>
      </c>
      <c r="AB47" s="5">
        <f>B47&amp;"|"&amp;K47</f>
        <v/>
      </c>
    </row>
    <row r="48" ht="78" customHeight="1">
      <c r="A48" s="19" t="inlineStr">
        <is>
          <t>TY47</t>
        </is>
      </c>
      <c r="B48" s="20" t="inlineStr">
        <is>
          <t>Tipografi</t>
        </is>
      </c>
      <c r="C48" s="21" t="inlineStr">
        <is>
          <t>Rebus emoji</t>
        </is>
      </c>
      <c r="D48" s="20" t="inlineStr">
        <is>
          <t>Kalimat yang sebagian katanya diganti emoji; penonton menebak.</t>
        </is>
      </c>
      <c r="E48" s="28" t="inlineStr">
        <is>
          <t>Bisa</t>
        </is>
      </c>
      <c r="F48" s="19" t="inlineStr"/>
      <c r="G48" s="19" t="n">
        <v>1</v>
      </c>
      <c r="H48" s="19" t="n">
        <v>6</v>
      </c>
      <c r="I48" s="19" t="n">
        <v>6</v>
      </c>
      <c r="J48" s="23">
        <f>IF(E48="Tidak cocok","",ROUND(H48*W_GAYA_WOW+I48*W_GAYA_MEREK+(11-2*G48)*W_GAYA_MUDAH,1))</f>
        <v/>
      </c>
      <c r="K48" s="19">
        <f>IF(Z48=1,COUNTIFS($B$2:$B$254,B48,$AA$2:$AA$254,"&gt;"&amp;AA48)+1,"—")</f>
        <v/>
      </c>
      <c r="L48" s="19" t="n">
        <v>1</v>
      </c>
      <c r="M48" s="21" t="inlineStr">
        <is>
          <t>Tebak Kewajibannya</t>
        </is>
      </c>
      <c r="N48" s="19" t="inlineStr">
        <is>
          <t>Relate</t>
        </is>
      </c>
      <c r="O48" s="20" t="inlineStr">
        <is>
          <t>“Tebak kewajiban PDP dari emoji ini: 📝🔍⏰.”</t>
        </is>
      </c>
      <c r="P48" s="20" t="inlineStr">
        <is>
          <t>Tiga teka-teki emoji → jawaban (catat, nilai, lapor tepat waktu) → CTA</t>
        </is>
      </c>
      <c r="Q48" s="24" t="n">
        <v>0.7</v>
      </c>
      <c r="R48" s="25">
        <f>IF(Q48="","",1-Q48)</f>
        <v/>
      </c>
      <c r="S48" s="20">
        <f>IF(Q48="","—",TEXT(1-Q48,"0%")&amp;" edukasi · "&amp;TEXT(Q48,"0%")&amp;" meme")</f>
        <v/>
      </c>
      <c r="T48" s="20" t="inlineStr">
        <is>
          <t>Platform</t>
        </is>
      </c>
      <c r="U48" s="20" t="inlineStr">
        <is>
          <t>—</t>
        </is>
      </c>
      <c r="V48" s="19" t="inlineStr">
        <is>
          <t>15 dtk</t>
        </is>
      </c>
      <c r="W48" s="20" t="inlineStr">
        <is>
          <t>Baru</t>
        </is>
      </c>
      <c r="X48" s="20" t="inlineStr">
        <is>
          <t>Baris campuran teks + emoji (Noto Color Emoji); jawaban terbuka per kata.</t>
        </is>
      </c>
      <c r="Y48" s="20" t="inlineStr">
        <is>
          <t>Untuk interaksi organik.</t>
        </is>
      </c>
      <c r="Z48" s="20">
        <f>IF(OR(E48="Bisa",E48="Berat"),1,0)</f>
        <v/>
      </c>
      <c r="AA48" s="20">
        <f>IF(Z48=1,J48-ROW()/100000,"")</f>
        <v/>
      </c>
      <c r="AB48" s="20">
        <f>B48&amp;"|"&amp;K48</f>
        <v/>
      </c>
    </row>
    <row r="49" ht="78" customHeight="1">
      <c r="A49" s="9" t="inlineStr">
        <is>
          <t>TY48</t>
        </is>
      </c>
      <c r="B49" s="5" t="inlineStr">
        <is>
          <t>Tipografi</t>
        </is>
      </c>
      <c r="C49" s="11" t="inlineStr">
        <is>
          <t>Kredit akhir film</t>
        </is>
      </c>
      <c r="D49" s="5" t="inlineStr">
        <is>
          <t>Daftar kredit putih di layar hitam bergulir ke atas.</t>
        </is>
      </c>
      <c r="E49" s="22" t="inlineStr">
        <is>
          <t>Sudah</t>
        </is>
      </c>
      <c r="F49" s="9" t="inlineStr">
        <is>
          <t>TY48</t>
        </is>
      </c>
      <c r="G49" s="9" t="n">
        <v>1</v>
      </c>
      <c r="H49" s="9" t="n">
        <v>8</v>
      </c>
      <c r="I49" s="9" t="n">
        <v>8</v>
      </c>
      <c r="J49" s="26">
        <f>IF(E49="Tidak cocok","",ROUND(H49*W_GAYA_WOW+I49*W_GAYA_MEREK+(11-2*G49)*W_GAYA_MUDAH,1))</f>
        <v/>
      </c>
      <c r="K49" s="9">
        <f>IF(Z49=1,COUNTIFS($B$2:$B$254,B49,$AA$2:$AA$254,"&gt;"&amp;AA49)+1,"—")</f>
        <v/>
      </c>
      <c r="L49" s="9" t="n">
        <v>1</v>
      </c>
      <c r="M49" s="11" t="inlineStr">
        <is>
          <t>Film dengan Satu Pemeran</t>
        </is>
      </c>
      <c r="N49" s="9" t="inlineStr">
        <is>
          <t>Relate</t>
        </is>
      </c>
      <c r="O49" s="5" t="inlineStr">
        <is>
          <t>“Pemeran: DPO sebagai Legal. DPO sebagai IT. DPO sebagai CS. DPO sebagai Humas.”</t>
        </is>
      </c>
      <c r="P49" s="5" t="inlineStr">
        <is>
          <t>Kredit terus berisi nama yang sama → “Turut membantu: Privasimu Nexus” → CTA</t>
        </is>
      </c>
      <c r="Q49" s="24" t="n">
        <v>0.3</v>
      </c>
      <c r="R49" s="27">
        <f>IF(Q49="","",1-Q49)</f>
        <v/>
      </c>
      <c r="S49" s="5">
        <f>IF(Q49="","—",TEXT(1-Q49,"0%")&amp;" edukasi · "&amp;TEXT(Q49,"0%")&amp;" meme")</f>
        <v/>
      </c>
      <c r="T49" s="5" t="inlineStr">
        <is>
          <t>Dukungan PPDP</t>
        </is>
      </c>
      <c r="U49" s="5" t="inlineStr">
        <is>
          <t>—</t>
        </is>
      </c>
      <c r="V49" s="9" t="inlineStr">
        <is>
          <t>15 dtk</t>
        </is>
      </c>
      <c r="W49" s="5" t="inlineStr">
        <is>
          <t>A06 / A21</t>
        </is>
      </c>
      <c r="X49" s="5" t="inlineStr">
        <is>
          <t>Blok teks translateY linear; kolom peran–nama.</t>
        </is>
      </c>
      <c r="Y49" s="5" t="inlineStr"/>
      <c r="Z49" s="5">
        <f>IF(OR(E49="Bisa",E49="Berat"),1,0)</f>
        <v/>
      </c>
      <c r="AA49" s="5">
        <f>IF(Z49=1,J49-ROW()/100000,"")</f>
        <v/>
      </c>
      <c r="AB49" s="5">
        <f>B49&amp;"|"&amp;K49</f>
        <v/>
      </c>
    </row>
    <row r="50" ht="78" customHeight="1">
      <c r="A50" s="19" t="inlineStr">
        <is>
          <t>TY49</t>
        </is>
      </c>
      <c r="B50" s="20" t="inlineStr">
        <is>
          <t>Tipografi</t>
        </is>
      </c>
      <c r="C50" s="21" t="inlineStr">
        <is>
          <t>Awan kata</t>
        </is>
      </c>
      <c r="D50" s="20" t="inlineStr">
        <is>
          <t>Kata-kata berbagai ukuran memenuhi layar; yang paling sering paling besar.</t>
        </is>
      </c>
      <c r="E50" s="22" t="inlineStr">
        <is>
          <t>Sudah</t>
        </is>
      </c>
      <c r="F50" s="19" t="inlineStr">
        <is>
          <t>TY49</t>
        </is>
      </c>
      <c r="G50" s="19" t="n">
        <v>2</v>
      </c>
      <c r="H50" s="19" t="n">
        <v>6</v>
      </c>
      <c r="I50" s="19" t="n">
        <v>7</v>
      </c>
      <c r="J50" s="23">
        <f>IF(E50="Tidak cocok","",ROUND(H50*W_GAYA_WOW+I50*W_GAYA_MEREK+(11-2*G50)*W_GAYA_MUDAH,1))</f>
        <v/>
      </c>
      <c r="K50" s="19">
        <f>IF(Z50=1,COUNTIFS($B$2:$B$254,B50,$AA$2:$AA$254,"&gt;"&amp;AA50)+1,"—")</f>
        <v/>
      </c>
      <c r="L50" s="19" t="n">
        <v>1</v>
      </c>
      <c r="M50" s="21" t="inlineStr">
        <is>
          <t>Kata Paling Sering Tahun Ini</t>
        </is>
      </c>
      <c r="N50" s="19" t="inlineStr">
        <is>
          <t>Relate</t>
        </is>
      </c>
      <c r="O50" s="20" t="inlineStr">
        <is>
          <t>“Kata yang paling sering diucapkan DPO tahun ini: ‘revisi’.”</t>
        </is>
      </c>
      <c r="P50" s="20" t="inlineStr">
        <is>
          <t>Awan kata tumbuh (revisi, rapat, form, tenggat) → kata baru masuk: “tercatat” → CTA</t>
        </is>
      </c>
      <c r="Q50" s="24" t="n">
        <v>0.5</v>
      </c>
      <c r="R50" s="25">
        <f>IF(Q50="","",1-Q50)</f>
        <v/>
      </c>
      <c r="S50" s="20">
        <f>IF(Q50="","—",TEXT(1-Q50,"0%")&amp;" edukasi · "&amp;TEXT(Q50,"0%")&amp;" meme")</f>
        <v/>
      </c>
      <c r="T50" s="20" t="inlineStr">
        <is>
          <t>Brand</t>
        </is>
      </c>
      <c r="U50" s="20" t="inlineStr">
        <is>
          <t>—</t>
        </is>
      </c>
      <c r="V50" s="19" t="inlineStr">
        <is>
          <t>10 dtk</t>
        </is>
      </c>
      <c r="W50" s="20" t="inlineStr">
        <is>
          <t>A22 (potongan)</t>
        </is>
      </c>
      <c r="X50" s="20" t="inlineStr">
        <is>
          <t>Posisi kata dihitung sekali (spiral), ukuran tumbuh; kata utama menyala.</t>
        </is>
      </c>
      <c r="Y50" s="20" t="inlineStr">
        <is>
          <t>Frekuensi = ilustrasi.</t>
        </is>
      </c>
      <c r="Z50" s="20">
        <f>IF(OR(E50="Bisa",E50="Berat"),1,0)</f>
        <v/>
      </c>
      <c r="AA50" s="20">
        <f>IF(Z50=1,J50-ROW()/100000,"")</f>
        <v/>
      </c>
      <c r="AB50" s="20">
        <f>B50&amp;"|"&amp;K50</f>
        <v/>
      </c>
    </row>
    <row r="51" ht="78" customHeight="1">
      <c r="A51" s="9" t="inlineStr">
        <is>
          <t>TY50</t>
        </is>
      </c>
      <c r="B51" s="5" t="inlineStr">
        <is>
          <t>Tipografi</t>
        </is>
      </c>
      <c r="C51" s="11" t="inlineStr">
        <is>
          <t>Teks teriris (sliced)</t>
        </is>
      </c>
      <c r="D51" s="5" t="inlineStr">
        <is>
          <t>Kalimat terpotong horizontal; irisan bergeser lalu menyatu.</t>
        </is>
      </c>
      <c r="E51" s="22" t="inlineStr">
        <is>
          <t>Sudah</t>
        </is>
      </c>
      <c r="F51" s="9" t="inlineStr">
        <is>
          <t>TY50</t>
        </is>
      </c>
      <c r="G51" s="9" t="n">
        <v>1</v>
      </c>
      <c r="H51" s="9" t="n">
        <v>6</v>
      </c>
      <c r="I51" s="9" t="n">
        <v>7</v>
      </c>
      <c r="J51" s="26">
        <f>IF(E51="Tidak cocok","",ROUND(H51*W_GAYA_WOW+I51*W_GAYA_MEREK+(11-2*G51)*W_GAYA_MUDAH,1))</f>
        <v/>
      </c>
      <c r="K51" s="9">
        <f>IF(Z51=1,COUNTIFS($B$2:$B$254,B51,$AA$2:$AA$254,"&gt;"&amp;AA51)+1,"—")</f>
        <v/>
      </c>
      <c r="L51" s="9" t="n">
        <v>1</v>
      </c>
      <c r="M51" s="11" t="inlineStr">
        <is>
          <t>Informasi yang Terpotong</t>
        </is>
      </c>
      <c r="N51" s="9" t="inlineStr">
        <is>
          <t>Anomali</t>
        </is>
      </c>
      <c r="O51" s="5" t="inlineStr">
        <is>
          <t>“Tiap divisi pegang sepotong. Tidak ada yang pegang kalimat utuhnya.”</t>
        </is>
      </c>
      <c r="P51" s="5" t="inlineStr">
        <is>
          <t>Kalimat teriris 4 (Legal, IT, CS, Marketing) → irisan menyatu di Nexus → CTA</t>
        </is>
      </c>
      <c r="Q51" s="24" t="n">
        <v>0.5</v>
      </c>
      <c r="R51" s="27">
        <f>IF(Q51="","",1-Q51)</f>
        <v/>
      </c>
      <c r="S51" s="5">
        <f>IF(Q51="","—",TEXT(1-Q51,"0%")&amp;" edukasi · "&amp;TEXT(Q51,"0%")&amp;" meme")</f>
        <v/>
      </c>
      <c r="T51" s="5" t="inlineStr">
        <is>
          <t>Platform (modul saling terhubung)</t>
        </is>
      </c>
      <c r="U51" s="5" t="inlineStr">
        <is>
          <t>—</t>
        </is>
      </c>
      <c r="V51" s="9" t="inlineStr">
        <is>
          <t>10 dtk</t>
        </is>
      </c>
      <c r="W51" s="5" t="inlineStr">
        <is>
          <t>Baru</t>
        </is>
      </c>
      <c r="X51" s="5" t="inlineStr">
        <is>
          <t>Beberapa salinan teks dengan clip-path pita; offset X per pita.</t>
        </is>
      </c>
      <c r="Y51" s="5" t="inlineStr"/>
      <c r="Z51" s="5">
        <f>IF(OR(E51="Bisa",E51="Berat"),1,0)</f>
        <v/>
      </c>
      <c r="AA51" s="5">
        <f>IF(Z51=1,J51-ROW()/100000,"")</f>
        <v/>
      </c>
      <c r="AB51" s="5">
        <f>B51&amp;"|"&amp;K51</f>
        <v/>
      </c>
    </row>
    <row r="52" ht="78" customHeight="1">
      <c r="A52" s="19" t="inlineStr">
        <is>
          <t>TY51</t>
        </is>
      </c>
      <c r="B52" s="20" t="inlineStr">
        <is>
          <t>Tipografi</t>
        </is>
      </c>
      <c r="C52" s="21" t="inlineStr">
        <is>
          <t>Zoom tanpa akhir lewat huruf</t>
        </is>
      </c>
      <c r="D52" s="20" t="inlineStr">
        <is>
          <t>Kamera masuk ke titik huruf “i”; di dalamnya ada kalimat berikutnya, terus berulang.</t>
        </is>
      </c>
      <c r="E52" s="22" t="inlineStr">
        <is>
          <t>Sudah</t>
        </is>
      </c>
      <c r="F52" s="19" t="inlineStr">
        <is>
          <t>TY51</t>
        </is>
      </c>
      <c r="G52" s="19" t="n">
        <v>3</v>
      </c>
      <c r="H52" s="19" t="n">
        <v>9</v>
      </c>
      <c r="I52" s="19" t="n">
        <v>8</v>
      </c>
      <c r="J52" s="23">
        <f>IF(E52="Tidak cocok","",ROUND(H52*W_GAYA_WOW+I52*W_GAYA_MEREK+(11-2*G52)*W_GAYA_MUDAH,1))</f>
        <v/>
      </c>
      <c r="K52" s="19">
        <f>IF(Z52=1,COUNTIFS($B$2:$B$254,B52,$AA$2:$AA$254,"&gt;"&amp;AA52)+1,"—")</f>
        <v/>
      </c>
      <c r="L52" s="19" t="n">
        <v>1</v>
      </c>
      <c r="M52" s="21" t="inlineStr">
        <is>
          <t>Di Dalam Titik Huruf i</t>
        </is>
      </c>
      <c r="N52" s="19" t="inlineStr">
        <is>
          <t>Anomali</t>
        </is>
      </c>
      <c r="O52" s="20" t="inlineStr">
        <is>
          <t>“Di dalam titik huruf ‘i’ ini ada satu kewajiban lagi.”</t>
        </is>
      </c>
      <c r="P52" s="20" t="inlineStr">
        <is>
          <t>RoPA → masuk titik: risiko TINGGI → masuk lagi: draf DPIA otomatis → masuk lagi: rencana penanganan risiko → CTA</t>
        </is>
      </c>
      <c r="Q52" s="24" t="n">
        <v>0.3</v>
      </c>
      <c r="R52" s="25">
        <f>IF(Q52="","",1-Q52)</f>
        <v/>
      </c>
      <c r="S52" s="20">
        <f>IF(Q52="","—",TEXT(1-Q52,"0%")&amp;" edukasi · "&amp;TEXT(Q52,"0%")&amp;" meme")</f>
        <v/>
      </c>
      <c r="T52" s="20" t="inlineStr">
        <is>
          <t>RoPA → DPIA → Risk Treatment Plan</t>
        </is>
      </c>
      <c r="U52" s="20" t="inlineStr">
        <is>
          <t>—</t>
        </is>
      </c>
      <c r="V52" s="19" t="inlineStr">
        <is>
          <t>20 dtk</t>
        </is>
      </c>
      <c r="W52" s="20" t="inlineStr">
        <is>
          <t>M05 (varian)</t>
        </is>
      </c>
      <c r="X52" s="20" t="inlineStr">
        <is>
          <t>Skala eksponensial bertingkat; tiap tingkat dirender saat mendekati ukuran layar.</t>
        </is>
      </c>
      <c r="Y52" s="20" t="inlineStr"/>
      <c r="Z52" s="20">
        <f>IF(OR(E52="Bisa",E52="Berat"),1,0)</f>
        <v/>
      </c>
      <c r="AA52" s="20">
        <f>IF(Z52=1,J52-ROW()/100000,"")</f>
        <v/>
      </c>
      <c r="AB52" s="20">
        <f>B52&amp;"|"&amp;K52</f>
        <v/>
      </c>
    </row>
    <row r="53" ht="78" customHeight="1">
      <c r="A53" s="9" t="inlineStr">
        <is>
          <t>TY52</t>
        </is>
      </c>
      <c r="B53" s="5" t="inlineStr">
        <is>
          <t>Tipografi</t>
        </is>
      </c>
      <c r="C53" s="11" t="inlineStr">
        <is>
          <t>Label nama “HALO”</t>
        </is>
      </c>
      <c r="D53" s="5" t="inlineStr">
        <is>
          <t>Stiker label nama bertuliskan tangan.</t>
        </is>
      </c>
      <c r="E53" s="22" t="inlineStr">
        <is>
          <t>Sudah</t>
        </is>
      </c>
      <c r="F53" s="9" t="inlineStr">
        <is>
          <t>TY52</t>
        </is>
      </c>
      <c r="G53" s="9" t="n">
        <v>1</v>
      </c>
      <c r="H53" s="9" t="n">
        <v>6</v>
      </c>
      <c r="I53" s="9" t="n">
        <v>7</v>
      </c>
      <c r="J53" s="26">
        <f>IF(E53="Tidak cocok","",ROUND(H53*W_GAYA_WOW+I53*W_GAYA_MEREK+(11-2*G53)*W_GAYA_MUDAH,1))</f>
        <v/>
      </c>
      <c r="K53" s="9">
        <f>IF(Z53=1,COUNTIFS($B$2:$B$254,B53,$AA$2:$AA$254,"&gt;"&amp;AA53)+1,"—")</f>
        <v/>
      </c>
      <c r="L53" s="9" t="n">
        <v>1</v>
      </c>
      <c r="M53" s="11" t="inlineStr">
        <is>
          <t>Halo, Nama Saya DPO</t>
        </is>
      </c>
      <c r="N53" s="9" t="inlineStr">
        <is>
          <t>Relate</t>
        </is>
      </c>
      <c r="O53" s="5" t="inlineStr">
        <is>
          <t>“HALO, nama saya: DPO (sejak kemarin sore).”</t>
        </is>
      </c>
      <c r="P53" s="5" t="inlineStr">
        <is>
          <t>Stiker ditulis → daftar tugas mendadak panjang → DPO Academy + pendampingan → CTA</t>
        </is>
      </c>
      <c r="Q53" s="24" t="n">
        <v>0.5</v>
      </c>
      <c r="R53" s="27">
        <f>IF(Q53="","",1-Q53)</f>
        <v/>
      </c>
      <c r="S53" s="5">
        <f>IF(Q53="","—",TEXT(1-Q53,"0%")&amp;" edukasi · "&amp;TEXT(Q53,"0%")&amp;" meme")</f>
        <v/>
      </c>
      <c r="T53" s="5" t="inlineStr">
        <is>
          <t>DPO Academy</t>
        </is>
      </c>
      <c r="U53" s="5" t="inlineStr">
        <is>
          <t>dpo-academy</t>
        </is>
      </c>
      <c r="V53" s="9" t="inlineStr">
        <is>
          <t>10 dtk</t>
        </is>
      </c>
      <c r="W53" s="5" t="inlineStr">
        <is>
          <t>A36 / M20</t>
        </is>
      </c>
      <c r="X53" s="5" t="inlineStr">
        <is>
          <t>Kartu stiker + tulisan spidol ditulis; ditempel miring.</t>
        </is>
      </c>
      <c r="Y53" s="5" t="inlineStr"/>
      <c r="Z53" s="5">
        <f>IF(OR(E53="Bisa",E53="Berat"),1,0)</f>
        <v/>
      </c>
      <c r="AA53" s="5">
        <f>IF(Z53=1,J53-ROW()/100000,"")</f>
        <v/>
      </c>
      <c r="AB53" s="5">
        <f>B53&amp;"|"&amp;K53</f>
        <v/>
      </c>
    </row>
    <row r="54" ht="78" customHeight="1">
      <c r="A54" s="19" t="inlineStr">
        <is>
          <t>TY53</t>
        </is>
      </c>
      <c r="B54" s="20" t="inlineStr">
        <is>
          <t>Tipografi</t>
        </is>
      </c>
      <c r="C54" s="21" t="inlineStr">
        <is>
          <t>Kalender sobek</t>
        </is>
      </c>
      <c r="D54" s="20" t="inlineStr">
        <is>
          <t>Kalender harian; lembar disobek satu per satu.</t>
        </is>
      </c>
      <c r="E54" s="22" t="inlineStr">
        <is>
          <t>Sudah</t>
        </is>
      </c>
      <c r="F54" s="19" t="inlineStr">
        <is>
          <t>TY53</t>
        </is>
      </c>
      <c r="G54" s="19" t="n">
        <v>2</v>
      </c>
      <c r="H54" s="19" t="n">
        <v>6</v>
      </c>
      <c r="I54" s="19" t="n">
        <v>8</v>
      </c>
      <c r="J54" s="23">
        <f>IF(E54="Tidak cocok","",ROUND(H54*W_GAYA_WOW+I54*W_GAYA_MEREK+(11-2*G54)*W_GAYA_MUDAH,1))</f>
        <v/>
      </c>
      <c r="K54" s="19">
        <f>IF(Z54=1,COUNTIFS($B$2:$B$254,B54,$AA$2:$AA$254,"&gt;"&amp;AA54)+1,"—")</f>
        <v/>
      </c>
      <c r="L54" s="19" t="n">
        <v>1</v>
      </c>
      <c r="M54" s="21" t="inlineStr">
        <is>
          <t>H-sekian</t>
        </is>
      </c>
      <c r="N54" s="19" t="inlineStr">
        <is>
          <t>Anomali</t>
        </is>
      </c>
      <c r="O54" s="20" t="inlineStr">
        <is>
          <t>“Tiap lembar yang disobek, PP 33 makin dekat.”</t>
        </is>
      </c>
      <c r="P54" s="20" t="inlineStr">
        <is>
          <t>Lembar disobek cepat → berhenti di 16 Januari 2027 → daftar siap PP 33 → CTA</t>
        </is>
      </c>
      <c r="Q54" s="24" t="n">
        <v>0.3</v>
      </c>
      <c r="R54" s="25">
        <f>IF(Q54="","",1-Q54)</f>
        <v/>
      </c>
      <c r="S54" s="20">
        <f>IF(Q54="","—",TEXT(1-Q54,"0%")&amp;" edukasi · "&amp;TEXT(Q54,"0%")&amp;" meme")</f>
        <v/>
      </c>
      <c r="T54" s="20" t="inlineStr">
        <is>
          <t>Program siap PP 33</t>
        </is>
      </c>
      <c r="U54" s="20" t="inlineStr">
        <is>
          <t>—</t>
        </is>
      </c>
      <c r="V54" s="19" t="inlineStr">
        <is>
          <t>10 dtk</t>
        </is>
      </c>
      <c r="W54" s="20" t="inlineStr">
        <is>
          <t>P28 / A23</t>
        </is>
      </c>
      <c r="X54" s="20" t="inlineStr">
        <is>
          <t>Lembar berputar di engsel atas (rotateX) lalu jatuh; angka fit-to-width.</t>
        </is>
      </c>
      <c r="Y54" s="20" t="inlineStr">
        <is>
          <t>Hitung mundur mengikuti tanggal tayang.</t>
        </is>
      </c>
      <c r="Z54" s="20">
        <f>IF(OR(E54="Bisa",E54="Berat"),1,0)</f>
        <v/>
      </c>
      <c r="AA54" s="20">
        <f>IF(Z54=1,J54-ROW()/100000,"")</f>
        <v/>
      </c>
      <c r="AB54" s="20">
        <f>B54&amp;"|"&amp;K54</f>
        <v/>
      </c>
    </row>
    <row r="55" ht="78" customHeight="1">
      <c r="A55" s="9" t="inlineStr">
        <is>
          <t>TY54</t>
        </is>
      </c>
      <c r="B55" s="5" t="inlineStr">
        <is>
          <t>Tipografi</t>
        </is>
      </c>
      <c r="C55" s="11" t="inlineStr">
        <is>
          <t>Tipografi aksesibel (morph)</t>
        </is>
      </c>
      <c r="D55" s="5" t="inlineStr">
        <is>
          <t>Kalimat yang sama berubah dari huruf kecil rapat menjadi besar, renggang, dan kontras tinggi.</t>
        </is>
      </c>
      <c r="E55" s="22" t="inlineStr">
        <is>
          <t>Sudah</t>
        </is>
      </c>
      <c r="F55" s="9" t="inlineStr">
        <is>
          <t>TY54</t>
        </is>
      </c>
      <c r="G55" s="9" t="n">
        <v>2</v>
      </c>
      <c r="H55" s="9" t="n">
        <v>7</v>
      </c>
      <c r="I55" s="9" t="n">
        <v>9</v>
      </c>
      <c r="J55" s="26">
        <f>IF(E55="Tidak cocok","",ROUND(H55*W_GAYA_WOW+I55*W_GAYA_MEREK+(11-2*G55)*W_GAYA_MUDAH,1))</f>
        <v/>
      </c>
      <c r="K55" s="9">
        <f>IF(Z55=1,COUNTIFS($B$2:$B$254,B55,$AA$2:$AA$254,"&gt;"&amp;AA55)+1,"—")</f>
        <v/>
      </c>
      <c r="L55" s="9" t="n">
        <v>1</v>
      </c>
      <c r="M55" s="11" t="inlineStr">
        <is>
          <t>Persetujuan yang Bisa Dibaca</t>
        </is>
      </c>
      <c r="N55" s="9" t="inlineStr">
        <is>
          <t>Logika dipatahkan</t>
        </is>
      </c>
      <c r="O55" s="5" t="inlineStr">
        <is>
          <t>“Persetujuan yang tidak bisa dibaca, bukan persetujuan.”</t>
        </is>
      </c>
      <c r="P55" s="5" t="inlineStr">
        <is>
          <t>Kalimat legal kecil → berubah jadi jelas → layar Inclusive Privacy → CTA</t>
        </is>
      </c>
      <c r="Q55" s="24" t="n">
        <v>0.2</v>
      </c>
      <c r="R55" s="27">
        <f>IF(Q55="","",1-Q55)</f>
        <v/>
      </c>
      <c r="S55" s="5">
        <f>IF(Q55="","—",TEXT(1-Q55,"0%")&amp;" edukasi · "&amp;TEXT(Q55,"0%")&amp;" meme")</f>
        <v/>
      </c>
      <c r="T55" s="5" t="inlineStr">
        <is>
          <t>Inclusive Privacy</t>
        </is>
      </c>
      <c r="U55" s="5" t="inlineStr">
        <is>
          <t>inclusive-privacy</t>
        </is>
      </c>
      <c r="V55" s="9" t="inlineStr">
        <is>
          <t>15 dtk</t>
        </is>
      </c>
      <c r="W55" s="5" t="inlineStr">
        <is>
          <t>M10</t>
        </is>
      </c>
      <c r="X55" s="5" t="inlineStr">
        <is>
          <t>Interpolasi ukuran, jarak huruf, kontras; ikon suara sederhana muncul.</t>
        </is>
      </c>
      <c r="Y55" s="5" t="inlineStr"/>
      <c r="Z55" s="5">
        <f>IF(OR(E55="Bisa",E55="Berat"),1,0)</f>
        <v/>
      </c>
      <c r="AA55" s="5">
        <f>IF(Z55=1,J55-ROW()/100000,"")</f>
        <v/>
      </c>
      <c r="AB55" s="5">
        <f>B55&amp;"|"&amp;K55</f>
        <v/>
      </c>
    </row>
    <row r="56" ht="78" customHeight="1">
      <c r="A56" s="19" t="inlineStr">
        <is>
          <t>TY55</t>
        </is>
      </c>
      <c r="B56" s="20" t="inlineStr">
        <is>
          <t>Tipografi</t>
        </is>
      </c>
      <c r="C56" s="21" t="inlineStr">
        <is>
          <t>Tabel periodik</t>
        </is>
      </c>
      <c r="D56" s="20" t="inlineStr">
        <is>
          <t>Kotak unsur dengan singkatan dua huruf dan nomor.</t>
        </is>
      </c>
      <c r="E56" s="22" t="inlineStr">
        <is>
          <t>Sudah</t>
        </is>
      </c>
      <c r="F56" s="19" t="inlineStr">
        <is>
          <t>TY55</t>
        </is>
      </c>
      <c r="G56" s="19" t="n">
        <v>2</v>
      </c>
      <c r="H56" s="19" t="n">
        <v>6</v>
      </c>
      <c r="I56" s="19" t="n">
        <v>6</v>
      </c>
      <c r="J56" s="23">
        <f>IF(E56="Tidak cocok","",ROUND(H56*W_GAYA_WOW+I56*W_GAYA_MEREK+(11-2*G56)*W_GAYA_MUDAH,1))</f>
        <v/>
      </c>
      <c r="K56" s="19">
        <f>IF(Z56=1,COUNTIFS($B$2:$B$254,B56,$AA$2:$AA$254,"&gt;"&amp;AA56)+1,"—")</f>
        <v/>
      </c>
      <c r="L56" s="19" t="n">
        <v>1</v>
      </c>
      <c r="M56" s="21" t="inlineStr">
        <is>
          <t>Unsur-unsur Kepatuhan</t>
        </is>
      </c>
      <c r="N56" s="19" t="inlineStr">
        <is>
          <t>Anomali</t>
        </is>
      </c>
      <c r="O56" s="20" t="inlineStr">
        <is>
          <t>“Ro. Dp. Ds. Tiga unsur yang wajib ada di kantormu.”</t>
        </is>
      </c>
      <c r="P56" s="20" t="inlineStr">
        <is>
          <t>Kotak Ro, Dp, Ds menyala → “bereaksi”: RoPA risiko tinggi → DPIA otomatis → CTA</t>
        </is>
      </c>
      <c r="Q56" s="24" t="n">
        <v>0.7</v>
      </c>
      <c r="R56" s="25">
        <f>IF(Q56="","",1-Q56)</f>
        <v/>
      </c>
      <c r="S56" s="20">
        <f>IF(Q56="","—",TEXT(1-Q56,"0%")&amp;" edukasi · "&amp;TEXT(Q56,"0%")&amp;" meme")</f>
        <v/>
      </c>
      <c r="T56" s="20" t="inlineStr">
        <is>
          <t>RoPA, DPIA, DSR</t>
        </is>
      </c>
      <c r="U56" s="20" t="inlineStr">
        <is>
          <t>—</t>
        </is>
      </c>
      <c r="V56" s="19" t="inlineStr">
        <is>
          <t>10 dtk</t>
        </is>
      </c>
      <c r="W56" s="20" t="inlineStr">
        <is>
          <t>Baru</t>
        </is>
      </c>
      <c r="X56" s="20" t="inlineStr">
        <is>
          <t>Grid kotak; kotak menyala berurutan; kotak terpilih membesar.</t>
        </is>
      </c>
      <c r="Y56" s="20" t="inlineStr">
        <is>
          <t>Hindari warna/tata letak yang meniru logo serial TV.</t>
        </is>
      </c>
      <c r="Z56" s="20">
        <f>IF(OR(E56="Bisa",E56="Berat"),1,0)</f>
        <v/>
      </c>
      <c r="AA56" s="20">
        <f>IF(Z56=1,J56-ROW()/100000,"")</f>
        <v/>
      </c>
      <c r="AB56" s="20">
        <f>B56&amp;"|"&amp;K56</f>
        <v/>
      </c>
    </row>
    <row r="57" ht="78" customHeight="1">
      <c r="A57" s="9" t="inlineStr">
        <is>
          <t>TY56</t>
        </is>
      </c>
      <c r="B57" s="5" t="inlineStr">
        <is>
          <t>Tipografi</t>
        </is>
      </c>
      <c r="C57" s="11" t="inlineStr">
        <is>
          <t>Daftar isi bertitik</t>
        </is>
      </c>
      <c r="D57" s="5" t="inlineStr">
        <is>
          <t>Daftar isi dengan titik-titik penuntun ke nomor halaman.</t>
        </is>
      </c>
      <c r="E57" s="22" t="inlineStr">
        <is>
          <t>Sudah</t>
        </is>
      </c>
      <c r="F57" s="9" t="inlineStr">
        <is>
          <t>TY56</t>
        </is>
      </c>
      <c r="G57" s="9" t="n">
        <v>1</v>
      </c>
      <c r="H57" s="9" t="n">
        <v>5</v>
      </c>
      <c r="I57" s="9" t="n">
        <v>8</v>
      </c>
      <c r="J57" s="26">
        <f>IF(E57="Tidak cocok","",ROUND(H57*W_GAYA_WOW+I57*W_GAYA_MEREK+(11-2*G57)*W_GAYA_MUDAH,1))</f>
        <v/>
      </c>
      <c r="K57" s="9">
        <f>IF(Z57=1,COUNTIFS($B$2:$B$254,B57,$AA$2:$AA$254,"&gt;"&amp;AA57)+1,"—")</f>
        <v/>
      </c>
      <c r="L57" s="9" t="n">
        <v>1</v>
      </c>
      <c r="M57" s="11" t="inlineStr">
        <is>
          <t>Halaman 482</t>
        </is>
      </c>
      <c r="N57" s="9" t="inlineStr">
        <is>
          <t>Logika dipatahkan</t>
        </is>
      </c>
      <c r="O57" s="5" t="inlineStr">
        <is>
          <t>“Bab 1 … hlm. 3. Bab 12 … hlm. 482. Direksi berhenti di hlm. 2.”</t>
        </is>
      </c>
      <c r="P57" s="5" t="inlineStr">
        <is>
          <t>Daftar isi memanjang → dilipat jadi satu layar dasbor → CTA</t>
        </is>
      </c>
      <c r="Q57" s="24" t="n">
        <v>0.3</v>
      </c>
      <c r="R57" s="27">
        <f>IF(Q57="","",1-Q57)</f>
        <v/>
      </c>
      <c r="S57" s="5">
        <f>IF(Q57="","—",TEXT(1-Q57,"0%")&amp;" edukasi · "&amp;TEXT(Q57,"0%")&amp;" meme")</f>
        <v/>
      </c>
      <c r="T57" s="5" t="inlineStr">
        <is>
          <t>Dasbor kepatuhan</t>
        </is>
      </c>
      <c r="U57" s="5" t="inlineStr">
        <is>
          <t>dashboard-postur</t>
        </is>
      </c>
      <c r="V57" s="9" t="inlineStr">
        <is>
          <t>10 dtk</t>
        </is>
      </c>
      <c r="W57" s="5" t="inlineStr">
        <is>
          <t>M01 (potongan)</t>
        </is>
      </c>
      <c r="X57" s="5" t="inlineStr">
        <is>
          <t>Titik-titik tumbuh (lebar), nomor halaman menghitung naik.</t>
        </is>
      </c>
      <c r="Y57" s="5" t="inlineStr">
        <is>
          <t>“482 halaman” = ilustrasi.</t>
        </is>
      </c>
      <c r="Z57" s="5">
        <f>IF(OR(E57="Bisa",E57="Berat"),1,0)</f>
        <v/>
      </c>
      <c r="AA57" s="5">
        <f>IF(Z57=1,J57-ROW()/100000,"")</f>
        <v/>
      </c>
      <c r="AB57" s="5">
        <f>B57&amp;"|"&amp;K57</f>
        <v/>
      </c>
    </row>
    <row r="58" ht="78" customHeight="1">
      <c r="A58" s="19" t="inlineStr">
        <is>
          <t>GB01</t>
        </is>
      </c>
      <c r="B58" s="20" t="inlineStr">
        <is>
          <t>Grafis &amp; bentuk</t>
        </is>
      </c>
      <c r="C58" s="21" t="inlineStr">
        <is>
          <t>Swiss poster / grid</t>
        </is>
      </c>
      <c r="D58" s="20" t="inlineStr">
        <is>
          <t>Grid tegas, huruf besar, blok warna datar seperti poster Swiss.</t>
        </is>
      </c>
      <c r="E58" s="22" t="inlineStr">
        <is>
          <t>Sudah</t>
        </is>
      </c>
      <c r="F58" s="19" t="inlineStr">
        <is>
          <t>N08</t>
        </is>
      </c>
      <c r="G58" s="19" t="n">
        <v>3</v>
      </c>
      <c r="H58" s="19" t="n">
        <v>7</v>
      </c>
      <c r="I58" s="19" t="n">
        <v>9</v>
      </c>
      <c r="J58" s="23">
        <f>IF(E58="Tidak cocok","",ROUND(H58*W_GAYA_WOW+I58*W_GAYA_MEREK+(11-2*G58)*W_GAYA_MUDAH,1))</f>
        <v/>
      </c>
      <c r="K58" s="19">
        <f>IF(Z58=1,COUNTIFS($B$2:$B$254,B58,$AA$2:$AA$254,"&gt;"&amp;AA58)+1,"—")</f>
        <v/>
      </c>
      <c r="L58" s="19" t="n">
        <v>2</v>
      </c>
      <c r="M58" s="21" t="inlineStr">
        <is>
          <t>Program Siap PP 33</t>
        </is>
      </c>
      <c r="N58" s="19" t="inlineStr">
        <is>
          <t>Anomali</t>
        </is>
      </c>
      <c r="O58" s="20" t="inlineStr">
        <is>
          <t>Poster kinetik “siap PP 33”.</t>
        </is>
      </c>
      <c r="P58" s="20" t="inlineStr">
        <is>
          <t>Masalah → program → langkah → CTA konsultasi</t>
        </is>
      </c>
      <c r="Q58" s="24" t="n">
        <v>0.1</v>
      </c>
      <c r="R58" s="25">
        <f>IF(Q58="","",1-Q58)</f>
        <v/>
      </c>
      <c r="S58" s="20">
        <f>IF(Q58="","—",TEXT(1-Q58,"0%")&amp;" edukasi · "&amp;TEXT(Q58,"0%")&amp;" meme")</f>
        <v/>
      </c>
      <c r="T58" s="20" t="inlineStr">
        <is>
          <t>Program siap PP 33</t>
        </is>
      </c>
      <c r="U58" s="20" t="inlineStr">
        <is>
          <t>—</t>
        </is>
      </c>
      <c r="V58" s="19" t="inlineStr">
        <is>
          <t>49,4 dtk</t>
        </is>
      </c>
      <c r="W58" s="20" t="inlineStr">
        <is>
          <t>N08 (sudah dirender)</t>
        </is>
      </c>
      <c r="X58" s="20" t="inlineStr">
        <is>
          <t>Tata letak grid 12 kolom; blok warna geser; tipografi tebal.</t>
        </is>
      </c>
      <c r="Y58" s="20" t="inlineStr"/>
      <c r="Z58" s="20">
        <f>IF(OR(E58="Bisa",E58="Berat"),1,0)</f>
        <v/>
      </c>
      <c r="AA58" s="20">
        <f>IF(Z58=1,J58-ROW()/100000,"")</f>
        <v/>
      </c>
      <c r="AB58" s="20">
        <f>B58&amp;"|"&amp;K58</f>
        <v/>
      </c>
    </row>
    <row r="59" ht="78" customHeight="1">
      <c r="A59" s="9" t="inlineStr">
        <is>
          <t>GB02</t>
        </is>
      </c>
      <c r="B59" s="5" t="inlineStr">
        <is>
          <t>Grafis &amp; bentuk</t>
        </is>
      </c>
      <c r="C59" s="11" t="inlineStr">
        <is>
          <t>Blueprint (gambar teknik)</t>
        </is>
      </c>
      <c r="D59" s="5" t="inlineStr">
        <is>
          <t>Garis putih di atas biru tua seperti denah arsitek.</t>
        </is>
      </c>
      <c r="E59" s="22" t="inlineStr">
        <is>
          <t>Sudah</t>
        </is>
      </c>
      <c r="F59" s="9" t="inlineStr">
        <is>
          <t>N10</t>
        </is>
      </c>
      <c r="G59" s="9" t="n">
        <v>3</v>
      </c>
      <c r="H59" s="9" t="n">
        <v>7</v>
      </c>
      <c r="I59" s="9" t="n">
        <v>9</v>
      </c>
      <c r="J59" s="26">
        <f>IF(E59="Tidak cocok","",ROUND(H59*W_GAYA_WOW+I59*W_GAYA_MEREK+(11-2*G59)*W_GAYA_MUDAH,1))</f>
        <v/>
      </c>
      <c r="K59" s="9">
        <f>IF(Z59=1,COUNTIFS($B$2:$B$254,B59,$AA$2:$AA$254,"&gt;"&amp;AA59)+1,"—")</f>
        <v/>
      </c>
      <c r="L59" s="9" t="n">
        <v>2</v>
      </c>
      <c r="M59" s="11" t="inlineStr">
        <is>
          <t>Holding &amp; Anak Usaha</t>
        </is>
      </c>
      <c r="N59" s="9" t="inlineStr">
        <is>
          <t>Anomali</t>
        </is>
      </c>
      <c r="O59" s="5" t="inlineStr">
        <is>
          <t>Denah grup usaha tergambar.</t>
        </is>
      </c>
      <c r="P59" s="5" t="inlineStr">
        <is>
          <t>Struktur grup → standar bersama → dasbor grup → CTA</t>
        </is>
      </c>
      <c r="Q59" s="24" t="n">
        <v>0.1</v>
      </c>
      <c r="R59" s="27">
        <f>IF(Q59="","",1-Q59)</f>
        <v/>
      </c>
      <c r="S59" s="5">
        <f>IF(Q59="","—",TEXT(1-Q59,"0%")&amp;" edukasi · "&amp;TEXT(Q59,"0%")&amp;" meme")</f>
        <v/>
      </c>
      <c r="T59" s="5" t="inlineStr">
        <is>
          <t>Holding</t>
        </is>
      </c>
      <c r="U59" s="5" t="inlineStr">
        <is>
          <t>holding-header</t>
        </is>
      </c>
      <c r="V59" s="9" t="inlineStr">
        <is>
          <t>36 dtk</t>
        </is>
      </c>
      <c r="W59" s="5" t="inlineStr">
        <is>
          <t>N10 (sudah dirender)</t>
        </is>
      </c>
      <c r="X59" s="5" t="inlineStr">
        <is>
          <t>Garis digambar (stroke), kisi halus, anotasi ukuran.</t>
        </is>
      </c>
      <c r="Y59" s="5" t="inlineStr"/>
      <c r="Z59" s="5">
        <f>IF(OR(E59="Bisa",E59="Berat"),1,0)</f>
        <v/>
      </c>
      <c r="AA59" s="5">
        <f>IF(Z59=1,J59-ROW()/100000,"")</f>
        <v/>
      </c>
      <c r="AB59" s="5">
        <f>B59&amp;"|"&amp;K59</f>
        <v/>
      </c>
    </row>
    <row r="60" ht="78" customHeight="1">
      <c r="A60" s="19" t="inlineStr">
        <is>
          <t>GB03</t>
        </is>
      </c>
      <c r="B60" s="20" t="inlineStr">
        <is>
          <t>Grafis &amp; bentuk</t>
        </is>
      </c>
      <c r="C60" s="21" t="inlineStr">
        <is>
          <t>Flat geometric (Bauhaus)</t>
        </is>
      </c>
      <c r="D60" s="20" t="inlineStr">
        <is>
          <t>Lingkaran, kotak, segitiga warna primer menyusun ikon dan adegan.</t>
        </is>
      </c>
      <c r="E60" s="22" t="inlineStr">
        <is>
          <t>Sudah</t>
        </is>
      </c>
      <c r="F60" s="19" t="inlineStr">
        <is>
          <t>GB03</t>
        </is>
      </c>
      <c r="G60" s="19" t="n">
        <v>2</v>
      </c>
      <c r="H60" s="19" t="n">
        <v>7</v>
      </c>
      <c r="I60" s="19" t="n">
        <v>8</v>
      </c>
      <c r="J60" s="23">
        <f>IF(E60="Tidak cocok","",ROUND(H60*W_GAYA_WOW+I60*W_GAYA_MEREK+(11-2*G60)*W_GAYA_MUDAH,1))</f>
        <v/>
      </c>
      <c r="K60" s="19">
        <f>IF(Z60=1,COUNTIFS($B$2:$B$254,B60,$AA$2:$AA$254,"&gt;"&amp;AA60)+1,"—")</f>
        <v/>
      </c>
      <c r="L60" s="19" t="n">
        <v>2</v>
      </c>
      <c r="M60" s="21" t="inlineStr">
        <is>
          <t>Tiga Bentuk</t>
        </is>
      </c>
      <c r="N60" s="19" t="inlineStr">
        <is>
          <t>Anomali</t>
        </is>
      </c>
      <c r="O60" s="20" t="inlineStr">
        <is>
          <t>“Semua urusan data pribadi bisa digambar dengan tiga bentuk.”</t>
        </is>
      </c>
      <c r="P60" s="20" t="inlineStr">
        <is>
          <t>Lingkaran = orang, kotak = sistem, segitiga = risiko → tersusun jadi alur RoPA–DPIA–DSR → CTA</t>
        </is>
      </c>
      <c r="Q60" s="24" t="n">
        <v>0.3</v>
      </c>
      <c r="R60" s="25">
        <f>IF(Q60="","",1-Q60)</f>
        <v/>
      </c>
      <c r="S60" s="20">
        <f>IF(Q60="","—",TEXT(1-Q60,"0%")&amp;" edukasi · "&amp;TEXT(Q60,"0%")&amp;" meme")</f>
        <v/>
      </c>
      <c r="T60" s="20" t="inlineStr">
        <is>
          <t>Platform</t>
        </is>
      </c>
      <c r="U60" s="20" t="inlineStr">
        <is>
          <t>—</t>
        </is>
      </c>
      <c r="V60" s="19" t="inlineStr">
        <is>
          <t>15 dtk</t>
        </is>
      </c>
      <c r="W60" s="20" t="inlineStr">
        <is>
          <t>Baru</t>
        </is>
      </c>
      <c r="X60" s="20" t="inlineStr">
        <is>
          <t>Div/SVG bentuk dasar; pindah-putar-skala; palet 4 warna.</t>
        </is>
      </c>
      <c r="Y60" s="20" t="inlineStr"/>
      <c r="Z60" s="20">
        <f>IF(OR(E60="Bisa",E60="Berat"),1,0)</f>
        <v/>
      </c>
      <c r="AA60" s="20">
        <f>IF(Z60=1,J60-ROW()/100000,"")</f>
        <v/>
      </c>
      <c r="AB60" s="20">
        <f>B60&amp;"|"&amp;K60</f>
        <v/>
      </c>
    </row>
    <row r="61" ht="78" customHeight="1">
      <c r="A61" s="9" t="inlineStr">
        <is>
          <t>GB04</t>
        </is>
      </c>
      <c r="B61" s="5" t="inlineStr">
        <is>
          <t>Grafis &amp; bentuk</t>
        </is>
      </c>
      <c r="C61" s="11" t="inlineStr">
        <is>
          <t>Gooey blob (gumpalan cair)</t>
        </is>
      </c>
      <c r="D61" s="5" t="inlineStr">
        <is>
          <t>Gumpalan cair yang saling menempel, menyatu, dan memisah.</t>
        </is>
      </c>
      <c r="E61" s="28" t="inlineStr">
        <is>
          <t>Bisa</t>
        </is>
      </c>
      <c r="F61" s="9" t="inlineStr"/>
      <c r="G61" s="9" t="n">
        <v>2</v>
      </c>
      <c r="H61" s="9" t="n">
        <v>8</v>
      </c>
      <c r="I61" s="9" t="n">
        <v>7</v>
      </c>
      <c r="J61" s="26">
        <f>IF(E61="Tidak cocok","",ROUND(H61*W_GAYA_WOW+I61*W_GAYA_MEREK+(11-2*G61)*W_GAYA_MUDAH,1))</f>
        <v/>
      </c>
      <c r="K61" s="9">
        <f>IF(Z61=1,COUNTIFS($B$2:$B$254,B61,$AA$2:$AA$254,"&gt;"&amp;AA61)+1,"—")</f>
        <v/>
      </c>
      <c r="L61" s="9" t="n">
        <v>2</v>
      </c>
      <c r="M61" s="11" t="inlineStr">
        <is>
          <t>Lima Versi Data yang Sama</t>
        </is>
      </c>
      <c r="N61" s="9" t="inlineStr">
        <is>
          <t>Anomali</t>
        </is>
      </c>
      <c r="O61" s="5" t="inlineStr">
        <is>
          <t>“Lima divisi. Lima versi data pelanggan yang sama.”</t>
        </is>
      </c>
      <c r="P61" s="5" t="inlineStr">
        <is>
          <t>Lima gumpalan terpisah → menyatu jadi satu → modul saling terhubung → CTA</t>
        </is>
      </c>
      <c r="Q61" s="24" t="n">
        <v>0.5</v>
      </c>
      <c r="R61" s="27">
        <f>IF(Q61="","",1-Q61)</f>
        <v/>
      </c>
      <c r="S61" s="5">
        <f>IF(Q61="","—",TEXT(1-Q61,"0%")&amp;" edukasi · "&amp;TEXT(Q61,"0%")&amp;" meme")</f>
        <v/>
      </c>
      <c r="T61" s="5" t="inlineStr">
        <is>
          <t>Platform</t>
        </is>
      </c>
      <c r="U61" s="5" t="inlineStr">
        <is>
          <t>—</t>
        </is>
      </c>
      <c r="V61" s="9" t="inlineStr">
        <is>
          <t>15 dtk</t>
        </is>
      </c>
      <c r="W61" s="5" t="inlineStr">
        <is>
          <t>Baru</t>
        </is>
      </c>
      <c r="X61" s="5" t="inlineStr">
        <is>
          <t>Filter SVG goo (blur + color matrix) pada lingkaran bergerak.</t>
        </is>
      </c>
      <c r="Y61" s="5" t="inlineStr"/>
      <c r="Z61" s="5">
        <f>IF(OR(E61="Bisa",E61="Berat"),1,0)</f>
        <v/>
      </c>
      <c r="AA61" s="5">
        <f>IF(Z61=1,J61-ROW()/100000,"")</f>
        <v/>
      </c>
      <c r="AB61" s="5">
        <f>B61&amp;"|"&amp;K61</f>
        <v/>
      </c>
    </row>
    <row r="62" ht="78" customHeight="1">
      <c r="A62" s="29" t="inlineStr">
        <is>
          <t>GB05</t>
        </is>
      </c>
      <c r="B62" s="30" t="inlineStr">
        <is>
          <t>Grafis &amp; bentuk</t>
        </is>
      </c>
      <c r="C62" s="31" t="inlineStr">
        <is>
          <t>One-line art (satu garis tanpa putus)</t>
        </is>
      </c>
      <c r="D62" s="30" t="inlineStr">
        <is>
          <t>Satu garis tinta yang tidak pernah putus menggambar semua adegan, dengan bercak warna pastel di belakangnya.</t>
        </is>
      </c>
      <c r="E62" s="22" t="inlineStr">
        <is>
          <t>Sudah</t>
        </is>
      </c>
      <c r="F62" s="29" t="inlineStr">
        <is>
          <t>GB05</t>
        </is>
      </c>
      <c r="G62" s="29" t="n">
        <v>4</v>
      </c>
      <c r="H62" s="29" t="n">
        <v>10</v>
      </c>
      <c r="I62" s="29" t="n">
        <v>9</v>
      </c>
      <c r="J62" s="32">
        <f>IF(E62="Tidak cocok","",ROUND(H62*W_GAYA_WOW+I62*W_GAYA_MEREK+(11-2*G62)*W_GAYA_MUDAH,1))</f>
        <v/>
      </c>
      <c r="K62" s="29">
        <f>IF(Z62=1,COUNTIFS($B$2:$B$254,B62,$AA$2:$AA$254,"&gt;"&amp;AA62)+1,"—")</f>
        <v/>
      </c>
      <c r="L62" s="29" t="n">
        <v>0</v>
      </c>
      <c r="M62" s="31" t="inlineStr">
        <is>
          <t>Satu Garis</t>
        </is>
      </c>
      <c r="N62" s="29" t="inlineStr">
        <is>
          <t>Reverse psychology</t>
        </is>
      </c>
      <c r="O62" s="30" t="inlineStr">
        <is>
          <t>“Jangan ikuti garis ini… kalau kamu sudah tahu ke mana saja data pelangganmu pergi.”</t>
        </is>
      </c>
      <c r="P62" s="30" t="inlineStr">
        <is>
          <t>Garis menggambar Rina &amp; formulir → mengalir ke marketing, CS, pihak ketiga, cloud → kusut → di Nexus terurai: bukti persetujuan, RoPA, DPIA, DSR → seluruh garis membentuk gembok → CTA</t>
        </is>
      </c>
      <c r="Q62" s="24" t="n">
        <v>0.1</v>
      </c>
      <c r="R62" s="33">
        <f>IF(Q62="","",1-Q62)</f>
        <v/>
      </c>
      <c r="S62" s="30">
        <f>IF(Q62="","—",TEXT(1-Q62,"0%")&amp;" edukasi · "&amp;TEXT(Q62,"0%")&amp;" meme")</f>
        <v/>
      </c>
      <c r="T62" s="30" t="inlineStr">
        <is>
          <t>Platform (Consent, RoPA, DPIA, DSR)</t>
        </is>
      </c>
      <c r="U62" s="30" t="inlineStr">
        <is>
          <t>—</t>
        </is>
      </c>
      <c r="V62" s="29" t="inlineStr">
        <is>
          <t>64 dtk</t>
        </is>
      </c>
      <c r="W62" s="30" t="inlineStr">
        <is>
          <t>Flow unggulan “Perjalanan Satu Data” (versi 60 dtk)</t>
        </is>
      </c>
      <c r="X62" s="30" t="inlineStr">
        <is>
          <t>Satu path SVG panjang; stroke-dashoffset membuka garis; kamera mengikuti ujung pena; seluruh rute membentuk gambar besar saat kamera mundur.</t>
        </is>
      </c>
      <c r="Y62" s="30" t="inlineStr">
        <is>
          <t>Dikerjakan pertama (permintaan). Sudah dirakit di gb05-satu-garis; tinggal render. Rina = tokoh ilustrasi.</t>
        </is>
      </c>
      <c r="Z62" s="30">
        <f>IF(OR(E62="Bisa",E62="Berat"),1,0)</f>
        <v/>
      </c>
      <c r="AA62" s="30">
        <f>IF(Z62=1,J62-ROW()/100000,"")</f>
        <v/>
      </c>
      <c r="AB62" s="30">
        <f>B62&amp;"|"&amp;K62</f>
        <v/>
      </c>
    </row>
    <row r="63" ht="78" customHeight="1">
      <c r="A63" s="9" t="inlineStr">
        <is>
          <t>GB06</t>
        </is>
      </c>
      <c r="B63" s="5" t="inlineStr">
        <is>
          <t>Grafis &amp; bentuk</t>
        </is>
      </c>
      <c r="C63" s="11" t="inlineStr">
        <is>
          <t>Ikon garis menggambar sendiri</t>
        </is>
      </c>
      <c r="D63" s="5" t="inlineStr">
        <is>
          <t>Ikon garis tipis tergambar dari nol, banyak goresan.</t>
        </is>
      </c>
      <c r="E63" s="28" t="inlineStr">
        <is>
          <t>Bisa</t>
        </is>
      </c>
      <c r="F63" s="9" t="inlineStr"/>
      <c r="G63" s="9" t="n">
        <v>2</v>
      </c>
      <c r="H63" s="9" t="n">
        <v>6</v>
      </c>
      <c r="I63" s="9" t="n">
        <v>9</v>
      </c>
      <c r="J63" s="26">
        <f>IF(E63="Tidak cocok","",ROUND(H63*W_GAYA_WOW+I63*W_GAYA_MEREK+(11-2*G63)*W_GAYA_MUDAH,1))</f>
        <v/>
      </c>
      <c r="K63" s="9">
        <f>IF(Z63=1,COUNTIFS($B$2:$B$254,B63,$AA$2:$AA$254,"&gt;"&amp;AA63)+1,"—")</f>
        <v/>
      </c>
      <c r="L63" s="9" t="n">
        <v>2</v>
      </c>
      <c r="M63" s="11" t="inlineStr">
        <is>
          <t>Lima Fase</t>
        </is>
      </c>
      <c r="N63" s="9" t="inlineStr">
        <is>
          <t>Relate</t>
        </is>
      </c>
      <c r="O63" s="5" t="inlineStr">
        <is>
          <t>“Jam 3 pagi. Alurnya sudah siap.”</t>
        </is>
      </c>
      <c r="P63" s="5" t="inlineStr">
        <is>
          <t>Ikon 5 fase insiden tergambar berurutan → templat pemberitahuan &amp; RACI → CTA</t>
        </is>
      </c>
      <c r="Q63" s="24" t="n">
        <v>0.2</v>
      </c>
      <c r="R63" s="27">
        <f>IF(Q63="","",1-Q63)</f>
        <v/>
      </c>
      <c r="S63" s="5">
        <f>IF(Q63="","—",TEXT(1-Q63,"0%")&amp;" edukasi · "&amp;TEXT(Q63,"0%")&amp;" meme")</f>
        <v/>
      </c>
      <c r="T63" s="5" t="inlineStr">
        <is>
          <t>Manajemen Insiden</t>
        </is>
      </c>
      <c r="U63" s="5" t="inlineStr">
        <is>
          <t>breach-detail, breach-aksi</t>
        </is>
      </c>
      <c r="V63" s="9" t="inlineStr">
        <is>
          <t>15 dtk</t>
        </is>
      </c>
      <c r="W63" s="5" t="inlineStr">
        <is>
          <t>P30</t>
        </is>
      </c>
      <c r="X63" s="5" t="inlineStr">
        <is>
          <t>stroke-dashoffset per goresan dengan jeda bertingkat.</t>
        </is>
      </c>
      <c r="Y63" s="5" t="inlineStr"/>
      <c r="Z63" s="5">
        <f>IF(OR(E63="Bisa",E63="Berat"),1,0)</f>
        <v/>
      </c>
      <c r="AA63" s="5">
        <f>IF(Z63=1,J63-ROW()/100000,"")</f>
        <v/>
      </c>
      <c r="AB63" s="5">
        <f>B63&amp;"|"&amp;K63</f>
        <v/>
      </c>
    </row>
    <row r="64" ht="78" customHeight="1">
      <c r="A64" s="19" t="inlineStr">
        <is>
          <t>GB07</t>
        </is>
      </c>
      <c r="B64" s="20" t="inlineStr">
        <is>
          <t>Grafis &amp; bentuk</t>
        </is>
      </c>
      <c r="C64" s="21" t="inlineStr">
        <is>
          <t>Isometrik miniatur</t>
        </is>
      </c>
      <c r="D64" s="20" t="inlineStr">
        <is>
          <t>Kantor mungil dilihat dari sudut atas; jam berputar, tugas menumpuk.</t>
        </is>
      </c>
      <c r="E64" s="34" t="inlineStr">
        <is>
          <t>Berat</t>
        </is>
      </c>
      <c r="F64" s="19" t="inlineStr"/>
      <c r="G64" s="19" t="n">
        <v>5</v>
      </c>
      <c r="H64" s="19" t="n">
        <v>9</v>
      </c>
      <c r="I64" s="19" t="n">
        <v>8</v>
      </c>
      <c r="J64" s="23">
        <f>IF(E64="Tidak cocok","",ROUND(H64*W_GAYA_WOW+I64*W_GAYA_MEREK+(11-2*G64)*W_GAYA_MUDAH,1))</f>
        <v/>
      </c>
      <c r="K64" s="19">
        <f>IF(Z64=1,COUNTIFS($B$2:$B$254,B64,$AA$2:$AA$254,"&gt;"&amp;AA64)+1,"—")</f>
        <v/>
      </c>
      <c r="L64" s="19" t="n">
        <v>2</v>
      </c>
      <c r="M64" s="21" t="inlineStr">
        <is>
          <t>Sehari Jadi DPO (Versi Jujur)</t>
        </is>
      </c>
      <c r="N64" s="19" t="inlineStr">
        <is>
          <t>Relate</t>
        </is>
      </c>
      <c r="O64" s="20" t="inlineStr">
        <is>
          <t>“Day in the life of a DPO. Versi jujur.”</t>
        </is>
      </c>
      <c r="P64" s="20" t="inlineStr">
        <is>
          <t>08.00 kopi → 10.00 DSR masuk → 13.00 rapat → 03.00 insiden → antrean kerja Nexus merapikan → CTA</t>
        </is>
      </c>
      <c r="Q64" s="24" t="n">
        <v>0.3</v>
      </c>
      <c r="R64" s="25">
        <f>IF(Q64="","",1-Q64)</f>
        <v/>
      </c>
      <c r="S64" s="20">
        <f>IF(Q64="","—",TEXT(1-Q64,"0%")&amp;" edukasi · "&amp;TEXT(Q64,"0%")&amp;" meme")</f>
        <v/>
      </c>
      <c r="T64" s="20" t="inlineStr">
        <is>
          <t>Dukungan PPDP, DSR, Insiden</t>
        </is>
      </c>
      <c r="U64" s="20" t="inlineStr">
        <is>
          <t>dashboard</t>
        </is>
      </c>
      <c r="V64" s="19" t="inlineStr">
        <is>
          <t>30 dtk</t>
        </is>
      </c>
      <c r="W64" s="20" t="inlineStr">
        <is>
          <t>A21</t>
        </is>
      </c>
      <c r="X64" s="20" t="inlineStr">
        <is>
          <t>CSS 3D (rotateX 60° rotateZ 45°) balok tiga sisi; cahaya berubah pagi–malam.</t>
        </is>
      </c>
      <c r="Y64" s="20" t="inlineStr"/>
      <c r="Z64" s="20">
        <f>IF(OR(E64="Bisa",E64="Berat"),1,0)</f>
        <v/>
      </c>
      <c r="AA64" s="20">
        <f>IF(Z64=1,J64-ROW()/100000,"")</f>
        <v/>
      </c>
      <c r="AB64" s="20">
        <f>B64&amp;"|"&amp;K64</f>
        <v/>
      </c>
    </row>
    <row r="65" ht="78" customHeight="1">
      <c r="A65" s="9" t="inlineStr">
        <is>
          <t>GB08</t>
        </is>
      </c>
      <c r="B65" s="5" t="inlineStr">
        <is>
          <t>Grafis &amp; bentuk</t>
        </is>
      </c>
      <c r="C65" s="11" t="inlineStr">
        <is>
          <t>Halftone / risograph</t>
        </is>
      </c>
      <c r="D65" s="5" t="inlineStr">
        <is>
          <t>Cetak sablon dua warna dengan titik raster dan registrasi sedikit meleset.</t>
        </is>
      </c>
      <c r="E65" s="28" t="inlineStr">
        <is>
          <t>Bisa</t>
        </is>
      </c>
      <c r="F65" s="9" t="inlineStr"/>
      <c r="G65" s="9" t="n">
        <v>2</v>
      </c>
      <c r="H65" s="9" t="n">
        <v>8</v>
      </c>
      <c r="I65" s="9" t="n">
        <v>7</v>
      </c>
      <c r="J65" s="26">
        <f>IF(E65="Tidak cocok","",ROUND(H65*W_GAYA_WOW+I65*W_GAYA_MEREK+(11-2*G65)*W_GAYA_MUDAH,1))</f>
        <v/>
      </c>
      <c r="K65" s="9">
        <f>IF(Z65=1,COUNTIFS($B$2:$B$254,B65,$AA$2:$AA$254,"&gt;"&amp;AA65)+1,"—")</f>
        <v/>
      </c>
      <c r="L65" s="9" t="n">
        <v>2</v>
      </c>
      <c r="M65" s="11" t="inlineStr">
        <is>
          <t>5 Tanda Belum Siap</t>
        </is>
      </c>
      <c r="N65" s="9" t="inlineStr">
        <is>
          <t>Anomali</t>
        </is>
      </c>
      <c r="O65" s="5" t="inlineStr">
        <is>
          <t>“5 tanda perusahaanmu belum siap PP 33. Nomor 3 paling sering.”</t>
        </is>
      </c>
      <c r="P65" s="5" t="inlineStr">
        <is>
          <t>Poster bernomor 1–5 dicetak lapis demi lapis → GAP Assessment → CTA</t>
        </is>
      </c>
      <c r="Q65" s="24" t="n">
        <v>0.5</v>
      </c>
      <c r="R65" s="27">
        <f>IF(Q65="","",1-Q65)</f>
        <v/>
      </c>
      <c r="S65" s="5">
        <f>IF(Q65="","—",TEXT(1-Q65,"0%")&amp;" edukasi · "&amp;TEXT(Q65,"0%")&amp;" meme")</f>
        <v/>
      </c>
      <c r="T65" s="5" t="inlineStr">
        <is>
          <t>GAP, program siap PP 33</t>
        </is>
      </c>
      <c r="U65" s="5" t="inlineStr">
        <is>
          <t>gap-rekomendasi</t>
        </is>
      </c>
      <c r="V65" s="9" t="inlineStr">
        <is>
          <t>20 dtk</t>
        </is>
      </c>
      <c r="W65" s="5" t="inlineStr">
        <is>
          <t>A46</t>
        </is>
      </c>
      <c r="X65" s="5" t="inlineStr">
        <is>
          <t>Pola radial-gradient titik + mix-blend multiply dua lapis warna bergeser.</t>
        </is>
      </c>
      <c r="Y65" s="5" t="inlineStr"/>
      <c r="Z65" s="5">
        <f>IF(OR(E65="Bisa",E65="Berat"),1,0)</f>
        <v/>
      </c>
      <c r="AA65" s="5">
        <f>IF(Z65=1,J65-ROW()/100000,"")</f>
        <v/>
      </c>
      <c r="AB65" s="5">
        <f>B65&amp;"|"&amp;K65</f>
        <v/>
      </c>
    </row>
    <row r="66" ht="78" customHeight="1">
      <c r="A66" s="19" t="inlineStr">
        <is>
          <t>GB09</t>
        </is>
      </c>
      <c r="B66" s="20" t="inlineStr">
        <is>
          <t>Grafis &amp; bentuk</t>
        </is>
      </c>
      <c r="C66" s="21" t="inlineStr">
        <is>
          <t>Glassmorphism / aurora</t>
        </is>
      </c>
      <c r="D66" s="20" t="inlineStr">
        <is>
          <t>Kartu kaca buram melayang di atas gradasi bergerak.</t>
        </is>
      </c>
      <c r="E66" s="28" t="inlineStr">
        <is>
          <t>Bisa</t>
        </is>
      </c>
      <c r="F66" s="19" t="inlineStr"/>
      <c r="G66" s="19" t="n">
        <v>2</v>
      </c>
      <c r="H66" s="19" t="n">
        <v>7</v>
      </c>
      <c r="I66" s="19" t="n">
        <v>9</v>
      </c>
      <c r="J66" s="23">
        <f>IF(E66="Tidak cocok","",ROUND(H66*W_GAYA_WOW+I66*W_GAYA_MEREK+(11-2*G66)*W_GAYA_MUDAH,1))</f>
        <v/>
      </c>
      <c r="K66" s="19">
        <f>IF(Z66=1,COUNTIFS($B$2:$B$254,B66,$AA$2:$AA$254,"&gt;"&amp;AA66)+1,"—")</f>
        <v/>
      </c>
      <c r="L66" s="19" t="n">
        <v>2</v>
      </c>
      <c r="M66" s="21" t="inlineStr">
        <is>
          <t>Satu Layar</t>
        </is>
      </c>
      <c r="N66" s="19" t="inlineStr">
        <is>
          <t>Logika dipatahkan</t>
        </is>
      </c>
      <c r="O66" s="20" t="inlineStr">
        <is>
          <t>“Laporan terbaik bukan yang paling tebal.”</t>
        </is>
      </c>
      <c r="P66" s="20" t="inlineStr">
        <is>
          <t>Kartu kaca KPI muncul satu-satu (skor, DSR, insiden) dari dasbor asli → CTA</t>
        </is>
      </c>
      <c r="Q66" s="24" t="n">
        <v>0.2</v>
      </c>
      <c r="R66" s="25">
        <f>IF(Q66="","",1-Q66)</f>
        <v/>
      </c>
      <c r="S66" s="20">
        <f>IF(Q66="","—",TEXT(1-Q66,"0%")&amp;" edukasi · "&amp;TEXT(Q66,"0%")&amp;" meme")</f>
        <v/>
      </c>
      <c r="T66" s="20" t="inlineStr">
        <is>
          <t>Dasbor kepatuhan</t>
        </is>
      </c>
      <c r="U66" s="20" t="inlineStr">
        <is>
          <t>dashboard, dashboard-postur</t>
        </is>
      </c>
      <c r="V66" s="19" t="inlineStr">
        <is>
          <t>15 dtk</t>
        </is>
      </c>
      <c r="W66" s="20" t="inlineStr">
        <is>
          <t>P32</t>
        </is>
      </c>
      <c r="X66" s="20" t="inlineStr">
        <is>
          <t>backdrop-filter blur + gradasi kanvas; kartu paralaks.</t>
        </is>
      </c>
      <c r="Y66" s="20" t="inlineStr"/>
      <c r="Z66" s="20">
        <f>IF(OR(E66="Bisa",E66="Berat"),1,0)</f>
        <v/>
      </c>
      <c r="AA66" s="20">
        <f>IF(Z66=1,J66-ROW()/100000,"")</f>
        <v/>
      </c>
      <c r="AB66" s="20">
        <f>B66&amp;"|"&amp;K66</f>
        <v/>
      </c>
    </row>
    <row r="67" ht="78" customHeight="1">
      <c r="A67" s="9" t="inlineStr">
        <is>
          <t>GB10</t>
        </is>
      </c>
      <c r="B67" s="5" t="inlineStr">
        <is>
          <t>Grafis &amp; bentuk</t>
        </is>
      </c>
      <c r="C67" s="11" t="inlineStr">
        <is>
          <t>Claymorphism (3D lembut)</t>
        </is>
      </c>
      <c r="D67" s="5" t="inlineStr">
        <is>
          <t>Ikon gembung lembut seperti mainan, bayangan halus.</t>
        </is>
      </c>
      <c r="E67" s="28" t="inlineStr">
        <is>
          <t>Bisa</t>
        </is>
      </c>
      <c r="F67" s="9" t="inlineStr"/>
      <c r="G67" s="9" t="n">
        <v>3</v>
      </c>
      <c r="H67" s="9" t="n">
        <v>8</v>
      </c>
      <c r="I67" s="9" t="n">
        <v>8</v>
      </c>
      <c r="J67" s="26">
        <f>IF(E67="Tidak cocok","",ROUND(H67*W_GAYA_WOW+I67*W_GAYA_MEREK+(11-2*G67)*W_GAYA_MUDAH,1))</f>
        <v/>
      </c>
      <c r="K67" s="9">
        <f>IF(Z67=1,COUNTIFS($B$2:$B$254,B67,$AA$2:$AA$254,"&gt;"&amp;AA67)+1,"—")</f>
        <v/>
      </c>
      <c r="L67" s="9" t="n">
        <v>2</v>
      </c>
      <c r="M67" s="11" t="inlineStr">
        <is>
          <t>Pengguna Kelas 5 SD</t>
        </is>
      </c>
      <c r="N67" s="9" t="inlineStr">
        <is>
          <t>Anomali</t>
        </is>
      </c>
      <c r="O67" s="5" t="inlineStr">
        <is>
          <t>“Pengguna paling setia aplikasimu mungkin masih kelas 5 SD.”</t>
        </is>
      </c>
      <c r="P67" s="5" t="inlineStr">
        <is>
          <t>Avatar anak gembung → formulir → “butuh izin wali” → Children Pro → CTA</t>
        </is>
      </c>
      <c r="Q67" s="24" t="n">
        <v>0.3</v>
      </c>
      <c r="R67" s="27">
        <f>IF(Q67="","",1-Q67)</f>
        <v/>
      </c>
      <c r="S67" s="5">
        <f>IF(Q67="","—",TEXT(1-Q67,"0%")&amp;" edukasi · "&amp;TEXT(Q67,"0%")&amp;" meme")</f>
        <v/>
      </c>
      <c r="T67" s="5" t="inlineStr">
        <is>
          <t>Children Pro</t>
        </is>
      </c>
      <c r="U67" s="5" t="inlineStr">
        <is>
          <t>children-pro</t>
        </is>
      </c>
      <c r="V67" s="9" t="inlineStr">
        <is>
          <t>15 dtk</t>
        </is>
      </c>
      <c r="W67" s="5" t="inlineStr">
        <is>
          <t>M09 / P08</t>
        </is>
      </c>
      <c r="X67" s="5" t="inlineStr">
        <is>
          <t>Bentuk membulat + bayangan dalam/luar ganda; pantulan kecil.</t>
        </is>
      </c>
      <c r="Y67" s="5" t="inlineStr">
        <is>
          <t>Tanpa foto anak; ilustrasi saja.</t>
        </is>
      </c>
      <c r="Z67" s="5">
        <f>IF(OR(E67="Bisa",E67="Berat"),1,0)</f>
        <v/>
      </c>
      <c r="AA67" s="5">
        <f>IF(Z67=1,J67-ROW()/100000,"")</f>
        <v/>
      </c>
      <c r="AB67" s="5">
        <f>B67&amp;"|"&amp;K67</f>
        <v/>
      </c>
    </row>
    <row r="68" ht="78" customHeight="1">
      <c r="A68" s="19" t="inlineStr">
        <is>
          <t>GB11</t>
        </is>
      </c>
      <c r="B68" s="20" t="inlineStr">
        <is>
          <t>Grafis &amp; bentuk</t>
        </is>
      </c>
      <c r="C68" s="21" t="inlineStr">
        <is>
          <t>Infografik animasi</t>
        </is>
      </c>
      <c r="D68" s="20" t="inlineStr">
        <is>
          <t>Batang, donat, dan garis tumbuh dengan angka yang menghitung.</t>
        </is>
      </c>
      <c r="E68" s="22" t="inlineStr">
        <is>
          <t>Sudah</t>
        </is>
      </c>
      <c r="F68" s="19" t="inlineStr">
        <is>
          <t>GB11</t>
        </is>
      </c>
      <c r="G68" s="19" t="n">
        <v>2</v>
      </c>
      <c r="H68" s="19" t="n">
        <v>6</v>
      </c>
      <c r="I68" s="19" t="n">
        <v>9</v>
      </c>
      <c r="J68" s="23">
        <f>IF(E68="Tidak cocok","",ROUND(H68*W_GAYA_WOW+I68*W_GAYA_MEREK+(11-2*G68)*W_GAYA_MUDAH,1))</f>
        <v/>
      </c>
      <c r="K68" s="19">
        <f>IF(Z68=1,COUNTIFS($B$2:$B$254,B68,$AA$2:$AA$254,"&gt;"&amp;AA68)+1,"—")</f>
        <v/>
      </c>
      <c r="L68" s="19" t="n">
        <v>2</v>
      </c>
      <c r="M68" s="21" t="inlineStr">
        <is>
          <t>Patuh Itu Bukan Ya/Tidak</t>
        </is>
      </c>
      <c r="N68" s="19" t="inlineStr">
        <is>
          <t>Logika dipatahkan</t>
        </is>
      </c>
      <c r="O68" s="20" t="inlineStr">
        <is>
          <t>“‘Sudah patuh atau belum?’ itu pertanyaan yang salah.”</t>
        </is>
      </c>
      <c r="P68" s="20" t="inlineStr">
        <is>
          <t>Sakelar ya/tidak → berubah jadi tingkat kematangan per domain → rekomendasi peningkatan → CTA</t>
        </is>
      </c>
      <c r="Q68" s="24" t="n">
        <v>0.2</v>
      </c>
      <c r="R68" s="25">
        <f>IF(Q68="","",1-Q68)</f>
        <v/>
      </c>
      <c r="S68" s="20">
        <f>IF(Q68="","—",TEXT(1-Q68,"0%")&amp;" edukasi · "&amp;TEXT(Q68,"0%")&amp;" meme")</f>
        <v/>
      </c>
      <c r="T68" s="20" t="inlineStr">
        <is>
          <t>Maturity Assessment</t>
        </is>
      </c>
      <c r="U68" s="20" t="inlineStr">
        <is>
          <t>—</t>
        </is>
      </c>
      <c r="V68" s="19" t="inlineStr">
        <is>
          <t>20 dtk</t>
        </is>
      </c>
      <c r="W68" s="20" t="inlineStr">
        <is>
          <t>M03</t>
        </is>
      </c>
      <c r="X68" s="20" t="inlineStr">
        <is>
          <t>SVG/div tinggi-lebar dari data; angka odometer.</t>
        </is>
      </c>
      <c r="Y68" s="20" t="inlineStr">
        <is>
          <t>Perlu screenshot baru Maturity.</t>
        </is>
      </c>
      <c r="Z68" s="20">
        <f>IF(OR(E68="Bisa",E68="Berat"),1,0)</f>
        <v/>
      </c>
      <c r="AA68" s="20">
        <f>IF(Z68=1,J68-ROW()/100000,"")</f>
        <v/>
      </c>
      <c r="AB68" s="20">
        <f>B68&amp;"|"&amp;K68</f>
        <v/>
      </c>
    </row>
    <row r="69" ht="78" customHeight="1">
      <c r="A69" s="9" t="inlineStr">
        <is>
          <t>GB12</t>
        </is>
      </c>
      <c r="B69" s="5" t="inlineStr">
        <is>
          <t>Grafis &amp; bentuk</t>
        </is>
      </c>
      <c r="C69" s="11" t="inlineStr">
        <is>
          <t>Low-poly</t>
        </is>
      </c>
      <c r="D69" s="5" t="inlineStr">
        <is>
          <t>Bentang alam dari segitiga-segitiga datar berwarna.</t>
        </is>
      </c>
      <c r="E69" s="28" t="inlineStr">
        <is>
          <t>Bisa</t>
        </is>
      </c>
      <c r="F69" s="9" t="inlineStr"/>
      <c r="G69" s="9" t="n">
        <v>3</v>
      </c>
      <c r="H69" s="9" t="n">
        <v>7</v>
      </c>
      <c r="I69" s="9" t="n">
        <v>7</v>
      </c>
      <c r="J69" s="26">
        <f>IF(E69="Tidak cocok","",ROUND(H69*W_GAYA_WOW+I69*W_GAYA_MEREK+(11-2*G69)*W_GAYA_MUDAH,1))</f>
        <v/>
      </c>
      <c r="K69" s="9">
        <f>IF(Z69=1,COUNTIFS($B$2:$B$254,B69,$AA$2:$AA$254,"&gt;"&amp;AA69)+1,"—")</f>
        <v/>
      </c>
      <c r="L69" s="9" t="n">
        <v>2</v>
      </c>
      <c r="M69" s="11" t="inlineStr">
        <is>
          <t>Mendaki Tingkat</t>
        </is>
      </c>
      <c r="N69" s="9" t="inlineStr">
        <is>
          <t>Anomali</t>
        </is>
      </c>
      <c r="O69" s="5" t="inlineStr">
        <is>
          <t>“Tidak ada lift menuju puncak kepatuhan. Tapi ada peta.”</t>
        </is>
      </c>
      <c r="P69" s="5" t="inlineStr">
        <is>
          <t>Gunung low-poly → bendera tiap tingkat kematangan → jalur rekomendasi → CTA</t>
        </is>
      </c>
      <c r="Q69" s="24" t="n">
        <v>0.5</v>
      </c>
      <c r="R69" s="27">
        <f>IF(Q69="","",1-Q69)</f>
        <v/>
      </c>
      <c r="S69" s="5">
        <f>IF(Q69="","—",TEXT(1-Q69,"0%")&amp;" edukasi · "&amp;TEXT(Q69,"0%")&amp;" meme")</f>
        <v/>
      </c>
      <c r="T69" s="5" t="inlineStr">
        <is>
          <t>Maturity Assessment</t>
        </is>
      </c>
      <c r="U69" s="5" t="inlineStr">
        <is>
          <t>—</t>
        </is>
      </c>
      <c r="V69" s="9" t="inlineStr">
        <is>
          <t>15 dtk</t>
        </is>
      </c>
      <c r="W69" s="5" t="inlineStr">
        <is>
          <t>M03 (varian)</t>
        </is>
      </c>
      <c r="X69" s="5" t="inlineStr">
        <is>
          <t>Poligon SVG dengan warna per sisi; cahaya bergeser.</t>
        </is>
      </c>
      <c r="Y69" s="5" t="inlineStr">
        <is>
          <t>Perlu screenshot baru Maturity.</t>
        </is>
      </c>
      <c r="Z69" s="5">
        <f>IF(OR(E69="Bisa",E69="Berat"),1,0)</f>
        <v/>
      </c>
      <c r="AA69" s="5">
        <f>IF(Z69=1,J69-ROW()/100000,"")</f>
        <v/>
      </c>
      <c r="AB69" s="5">
        <f>B69&amp;"|"&amp;K69</f>
        <v/>
      </c>
    </row>
    <row r="70" ht="78" customHeight="1">
      <c r="A70" s="19" t="inlineStr">
        <is>
          <t>GB13</t>
        </is>
      </c>
      <c r="B70" s="20" t="inlineStr">
        <is>
          <t>Grafis &amp; bentuk</t>
        </is>
      </c>
      <c r="C70" s="21" t="inlineStr">
        <is>
          <t>Origami (lipat kertas)</t>
        </is>
      </c>
      <c r="D70" s="20" t="inlineStr">
        <is>
          <t>Kertas dilipat berkali-kali menjadi bentuk baru.</t>
        </is>
      </c>
      <c r="E70" s="22" t="inlineStr">
        <is>
          <t>Sudah</t>
        </is>
      </c>
      <c r="F70" s="19" t="inlineStr">
        <is>
          <t>GB13</t>
        </is>
      </c>
      <c r="G70" s="19" t="n">
        <v>4</v>
      </c>
      <c r="H70" s="19" t="n">
        <v>9</v>
      </c>
      <c r="I70" s="19" t="n">
        <v>8</v>
      </c>
      <c r="J70" s="23">
        <f>IF(E70="Tidak cocok","",ROUND(H70*W_GAYA_WOW+I70*W_GAYA_MEREK+(11-2*G70)*W_GAYA_MUDAH,1))</f>
        <v/>
      </c>
      <c r="K70" s="19">
        <f>IF(Z70=1,COUNTIFS($B$2:$B$254,B70,$AA$2:$AA$254,"&gt;"&amp;AA70)+1,"—")</f>
        <v/>
      </c>
      <c r="L70" s="19" t="n">
        <v>2</v>
      </c>
      <c r="M70" s="21" t="inlineStr">
        <is>
          <t>Selembar Kontrak</t>
        </is>
      </c>
      <c r="N70" s="19" t="inlineStr">
        <is>
          <t>Logika dipatahkan</t>
        </is>
      </c>
      <c r="O70" s="20" t="inlineStr">
        <is>
          <t>“Kontrak sudah ditandatangani. Bukan berarti datanya aman.”</t>
        </is>
      </c>
      <c r="P70" s="20" t="inlineStr">
        <is>
          <t>Kontrak dilipat jadi pesawat (dilupakan) → dibuka lagi → telaah per bab + rekomendasi klausul → dilipat jadi perisai → CTA</t>
        </is>
      </c>
      <c r="Q70" s="24" t="n">
        <v>0.3</v>
      </c>
      <c r="R70" s="25">
        <f>IF(Q70="","",1-Q70)</f>
        <v/>
      </c>
      <c r="S70" s="20">
        <f>IF(Q70="","—",TEXT(1-Q70,"0%")&amp;" edukasi · "&amp;TEXT(Q70,"0%")&amp;" meme")</f>
        <v/>
      </c>
      <c r="T70" s="20" t="inlineStr">
        <is>
          <t>Telaah Kontrak</t>
        </is>
      </c>
      <c r="U70" s="20" t="inlineStr">
        <is>
          <t>—</t>
        </is>
      </c>
      <c r="V70" s="19" t="inlineStr">
        <is>
          <t>20 dtk</t>
        </is>
      </c>
      <c r="W70" s="20" t="inlineStr">
        <is>
          <t>M17 / P09</t>
        </is>
      </c>
      <c r="X70" s="20" t="inlineStr">
        <is>
          <t>Panel CSS 3D berputar di engsel lipatan; bayangan lipatan.</t>
        </is>
      </c>
      <c r="Y70" s="20" t="inlineStr"/>
      <c r="Z70" s="20">
        <f>IF(OR(E70="Bisa",E70="Berat"),1,0)</f>
        <v/>
      </c>
      <c r="AA70" s="20">
        <f>IF(Z70=1,J70-ROW()/100000,"")</f>
        <v/>
      </c>
      <c r="AB70" s="20">
        <f>B70&amp;"|"&amp;K70</f>
        <v/>
      </c>
    </row>
    <row r="71" ht="78" customHeight="1">
      <c r="A71" s="9" t="inlineStr">
        <is>
          <t>GB14</t>
        </is>
      </c>
      <c r="B71" s="5" t="inlineStr">
        <is>
          <t>Grafis &amp; bentuk</t>
        </is>
      </c>
      <c r="C71" s="11" t="inlineStr">
        <is>
          <t>Tangram</t>
        </is>
      </c>
      <c r="D71" s="5" t="inlineStr">
        <is>
          <t>Tujuh keping geometris disusun ulang menjadi berbagai gambar.</t>
        </is>
      </c>
      <c r="E71" s="28" t="inlineStr">
        <is>
          <t>Bisa</t>
        </is>
      </c>
      <c r="F71" s="9" t="inlineStr"/>
      <c r="G71" s="9" t="n">
        <v>3</v>
      </c>
      <c r="H71" s="9" t="n">
        <v>9</v>
      </c>
      <c r="I71" s="9" t="n">
        <v>8</v>
      </c>
      <c r="J71" s="26">
        <f>IF(E71="Tidak cocok","",ROUND(H71*W_GAYA_WOW+I71*W_GAYA_MEREK+(11-2*G71)*W_GAYA_MUDAH,1))</f>
        <v/>
      </c>
      <c r="K71" s="9">
        <f>IF(Z71=1,COUNTIFS($B$2:$B$254,B71,$AA$2:$AA$254,"&gt;"&amp;AA71)+1,"—")</f>
        <v/>
      </c>
      <c r="L71" s="9" t="n">
        <v>2</v>
      </c>
      <c r="M71" s="11" t="inlineStr">
        <is>
          <t>Tujuh Keping</t>
        </is>
      </c>
      <c r="N71" s="9" t="inlineStr">
        <is>
          <t>Anomali</t>
        </is>
      </c>
      <c r="O71" s="5" t="inlineStr">
        <is>
          <t>“Tujuh keping yang sama. Susunannya yang menentukan.”</t>
        </is>
      </c>
      <c r="P71" s="5" t="inlineStr">
        <is>
          <t>Keping berserakan → tanda tanya → rumah → perisai → logo → CTA</t>
        </is>
      </c>
      <c r="Q71" s="24" t="n">
        <v>0.3</v>
      </c>
      <c r="R71" s="27">
        <f>IF(Q71="","",1-Q71)</f>
        <v/>
      </c>
      <c r="S71" s="5">
        <f>IF(Q71="","—",TEXT(1-Q71,"0%")&amp;" edukasi · "&amp;TEXT(Q71,"0%")&amp;" meme")</f>
        <v/>
      </c>
      <c r="T71" s="5" t="inlineStr">
        <is>
          <t>Platform</t>
        </is>
      </c>
      <c r="U71" s="5" t="inlineStr">
        <is>
          <t>—</t>
        </is>
      </c>
      <c r="V71" s="9" t="inlineStr">
        <is>
          <t>15 dtk</t>
        </is>
      </c>
      <c r="W71" s="5" t="inlineStr">
        <is>
          <t>Baru</t>
        </is>
      </c>
      <c r="X71" s="5" t="inlineStr">
        <is>
          <t>Tujuh poligon; tiap susunan = daftar posisi &amp; rotasi; interpolasi antarsusunan.</t>
        </is>
      </c>
      <c r="Y71" s="5" t="inlineStr"/>
      <c r="Z71" s="5">
        <f>IF(OR(E71="Bisa",E71="Berat"),1,0)</f>
        <v/>
      </c>
      <c r="AA71" s="5">
        <f>IF(Z71=1,J71-ROW()/100000,"")</f>
        <v/>
      </c>
      <c r="AB71" s="5">
        <f>B71&amp;"|"&amp;K71</f>
        <v/>
      </c>
    </row>
    <row r="72" ht="78" customHeight="1">
      <c r="A72" s="19" t="inlineStr">
        <is>
          <t>GB15</t>
        </is>
      </c>
      <c r="B72" s="20" t="inlineStr">
        <is>
          <t>Grafis &amp; bentuk</t>
        </is>
      </c>
      <c r="C72" s="21" t="inlineStr">
        <is>
          <t>Piksel / mosaik</t>
        </is>
      </c>
      <c r="D72" s="20" t="inlineStr">
        <is>
          <t>Kotak-kotak kecil acak yang tersortir menjadi gambar rapi.</t>
        </is>
      </c>
      <c r="E72" s="28" t="inlineStr">
        <is>
          <t>Bisa</t>
        </is>
      </c>
      <c r="F72" s="19" t="inlineStr"/>
      <c r="G72" s="19" t="n">
        <v>2</v>
      </c>
      <c r="H72" s="19" t="n">
        <v>8</v>
      </c>
      <c r="I72" s="19" t="n">
        <v>7</v>
      </c>
      <c r="J72" s="23">
        <f>IF(E72="Tidak cocok","",ROUND(H72*W_GAYA_WOW+I72*W_GAYA_MEREK+(11-2*G72)*W_GAYA_MUDAH,1))</f>
        <v/>
      </c>
      <c r="K72" s="19">
        <f>IF(Z72=1,COUNTIFS($B$2:$B$254,B72,$AA$2:$AA$254,"&gt;"&amp;AA72)+1,"—")</f>
        <v/>
      </c>
      <c r="L72" s="19" t="n">
        <v>2</v>
      </c>
      <c r="M72" s="21" t="inlineStr">
        <is>
          <t>Sortir</t>
        </is>
      </c>
      <c r="N72" s="19" t="inlineStr">
        <is>
          <t>Relate</t>
        </is>
      </c>
      <c r="O72" s="20" t="inlineStr">
        <is>
          <t>“Tonton sampai rapi.”</t>
        </is>
      </c>
      <c r="P72" s="20" t="inlineStr">
        <is>
          <t>Piksel acak = data tercampur → tersortir: umum / spesifik / bukan data pribadi → CTA</t>
        </is>
      </c>
      <c r="Q72" s="24" t="n">
        <v>0.5</v>
      </c>
      <c r="R72" s="25">
        <f>IF(Q72="","",1-Q72)</f>
        <v/>
      </c>
      <c r="S72" s="20">
        <f>IF(Q72="","—",TEXT(1-Q72,"0%")&amp;" edukasi · "&amp;TEXT(Q72,"0%")&amp;" meme")</f>
        <v/>
      </c>
      <c r="T72" s="20" t="inlineStr">
        <is>
          <t>Data Discovery</t>
        </is>
      </c>
      <c r="U72" s="20" t="inlineStr">
        <is>
          <t>—</t>
        </is>
      </c>
      <c r="V72" s="19" t="inlineStr">
        <is>
          <t>10 dtk</t>
        </is>
      </c>
      <c r="W72" s="20" t="inlineStr">
        <is>
          <t>Baru</t>
        </is>
      </c>
      <c r="X72" s="20" t="inlineStr">
        <is>
          <t>Grid sel; posisi awal acak (hash) → posisi akhir; warna per kategori.</t>
        </is>
      </c>
      <c r="Y72" s="20" t="inlineStr">
        <is>
          <t>Efek memuaskan; cocok untuk loop.</t>
        </is>
      </c>
      <c r="Z72" s="20">
        <f>IF(OR(E72="Bisa",E72="Berat"),1,0)</f>
        <v/>
      </c>
      <c r="AA72" s="20">
        <f>IF(Z72=1,J72-ROW()/100000,"")</f>
        <v/>
      </c>
      <c r="AB72" s="20">
        <f>B72&amp;"|"&amp;K72</f>
        <v/>
      </c>
    </row>
    <row r="73" ht="78" customHeight="1">
      <c r="A73" s="9" t="inlineStr">
        <is>
          <t>GB16</t>
        </is>
      </c>
      <c r="B73" s="5" t="inlineStr">
        <is>
          <t>Grafis &amp; bentuk</t>
        </is>
      </c>
      <c r="C73" s="11" t="inlineStr">
        <is>
          <t>Titik berpindah (partikel membentuk ikon)</t>
        </is>
      </c>
      <c r="D73" s="5" t="inlineStr">
        <is>
          <t>Ribuan titik berkumpul membentuk ikon, lalu bubar membentuk ikon lain.</t>
        </is>
      </c>
      <c r="E73" s="28" t="inlineStr">
        <is>
          <t>Bisa</t>
        </is>
      </c>
      <c r="F73" s="9" t="inlineStr"/>
      <c r="G73" s="9" t="n">
        <v>3</v>
      </c>
      <c r="H73" s="9" t="n">
        <v>8</v>
      </c>
      <c r="I73" s="9" t="n">
        <v>8</v>
      </c>
      <c r="J73" s="26">
        <f>IF(E73="Tidak cocok","",ROUND(H73*W_GAYA_WOW+I73*W_GAYA_MEREK+(11-2*G73)*W_GAYA_MUDAH,1))</f>
        <v/>
      </c>
      <c r="K73" s="9">
        <f>IF(Z73=1,COUNTIFS($B$2:$B$254,B73,$AA$2:$AA$254,"&gt;"&amp;AA73)+1,"—")</f>
        <v/>
      </c>
      <c r="L73" s="9" t="n">
        <v>2</v>
      </c>
      <c r="M73" s="11" t="inlineStr">
        <is>
          <t>Gambar Besar</t>
        </is>
      </c>
      <c r="N73" s="9" t="inlineStr">
        <is>
          <t>Anomali</t>
        </is>
      </c>
      <c r="O73" s="5" t="inlineStr">
        <is>
          <t>“Satu titik tidak berarti apa-apa. Sampai semuanya terkumpul.”</t>
        </is>
      </c>
      <c r="P73" s="5" t="inlineStr">
        <is>
          <t>Titik = catatan kecil → membentuk dokumen → perisai → logo → CTA</t>
        </is>
      </c>
      <c r="Q73" s="24" t="n">
        <v>0.3</v>
      </c>
      <c r="R73" s="27">
        <f>IF(Q73="","",1-Q73)</f>
        <v/>
      </c>
      <c r="S73" s="5">
        <f>IF(Q73="","—",TEXT(1-Q73,"0%")&amp;" edukasi · "&amp;TEXT(Q73,"0%")&amp;" meme")</f>
        <v/>
      </c>
      <c r="T73" s="5" t="inlineStr">
        <is>
          <t>Platform</t>
        </is>
      </c>
      <c r="U73" s="5" t="inlineStr">
        <is>
          <t>—</t>
        </is>
      </c>
      <c r="V73" s="9" t="inlineStr">
        <is>
          <t>10 dtk</t>
        </is>
      </c>
      <c r="W73" s="5" t="inlineStr">
        <is>
          <t>Baru (bumper)</t>
        </is>
      </c>
      <c r="X73" s="5" t="inlineStr">
        <is>
          <t>Canvas: titik target dari sampling bentuk; interpolasi posisi dengan jeda hash.</t>
        </is>
      </c>
      <c r="Y73" s="5" t="inlineStr"/>
      <c r="Z73" s="5">
        <f>IF(OR(E73="Bisa",E73="Berat"),1,0)</f>
        <v/>
      </c>
      <c r="AA73" s="5">
        <f>IF(Z73=1,J73-ROW()/100000,"")</f>
        <v/>
      </c>
      <c r="AB73" s="5">
        <f>B73&amp;"|"&amp;K73</f>
        <v/>
      </c>
    </row>
    <row r="74" ht="78" customHeight="1">
      <c r="A74" s="19" t="inlineStr">
        <is>
          <t>GB17</t>
        </is>
      </c>
      <c r="B74" s="20" t="inlineStr">
        <is>
          <t>Grafis &amp; bentuk</t>
        </is>
      </c>
      <c r="C74" s="21" t="inlineStr">
        <is>
          <t>Garis kontur (topografi)</t>
        </is>
      </c>
      <c r="D74" s="20" t="inlineStr">
        <is>
          <t>Garis kontur peta membentuk bukit dan lembah.</t>
        </is>
      </c>
      <c r="E74" s="28" t="inlineStr">
        <is>
          <t>Bisa</t>
        </is>
      </c>
      <c r="F74" s="19" t="inlineStr"/>
      <c r="G74" s="19" t="n">
        <v>3</v>
      </c>
      <c r="H74" s="19" t="n">
        <v>7</v>
      </c>
      <c r="I74" s="19" t="n">
        <v>8</v>
      </c>
      <c r="J74" s="23">
        <f>IF(E74="Tidak cocok","",ROUND(H74*W_GAYA_WOW+I74*W_GAYA_MEREK+(11-2*G74)*W_GAYA_MUDAH,1))</f>
        <v/>
      </c>
      <c r="K74" s="19">
        <f>IF(Z74=1,COUNTIFS($B$2:$B$254,B74,$AA$2:$AA$254,"&gt;"&amp;AA74)+1,"—")</f>
        <v/>
      </c>
      <c r="L74" s="19" t="n">
        <v>2</v>
      </c>
      <c r="M74" s="21" t="inlineStr">
        <is>
          <t>Peta Risiko</t>
        </is>
      </c>
      <c r="N74" s="19" t="inlineStr">
        <is>
          <t>Anomali</t>
        </is>
      </c>
      <c r="O74" s="20" t="inlineStr">
        <is>
          <t>“Proyek paling berisiko di kantormu biasanya proyek yang paling ditunggu-tunggu.”</t>
        </is>
      </c>
      <c r="P74" s="20" t="inlineStr">
        <is>
          <t>Kontur datar → satu puncak merah naik → matriks 5×5 DPIA → rencana mitigasi → CTA</t>
        </is>
      </c>
      <c r="Q74" s="24" t="n">
        <v>0.3</v>
      </c>
      <c r="R74" s="25">
        <f>IF(Q74="","",1-Q74)</f>
        <v/>
      </c>
      <c r="S74" s="20">
        <f>IF(Q74="","—",TEXT(1-Q74,"0%")&amp;" edukasi · "&amp;TEXT(Q74,"0%")&amp;" meme")</f>
        <v/>
      </c>
      <c r="T74" s="20" t="inlineStr">
        <is>
          <t>DPIA</t>
        </is>
      </c>
      <c r="U74" s="20" t="inlineStr">
        <is>
          <t>dashboard-risiko, dpia-risiko</t>
        </is>
      </c>
      <c r="V74" s="19" t="inlineStr">
        <is>
          <t>15 dtk</t>
        </is>
      </c>
      <c r="W74" s="20" t="inlineStr">
        <is>
          <t>M05</t>
        </is>
      </c>
      <c r="X74" s="20" t="inlineStr">
        <is>
          <t>Path kontur bertingkat dari fungsi noise deterministik; warna per ketinggian.</t>
        </is>
      </c>
      <c r="Y74" s="20" t="inlineStr"/>
      <c r="Z74" s="20">
        <f>IF(OR(E74="Bisa",E74="Berat"),1,0)</f>
        <v/>
      </c>
      <c r="AA74" s="20">
        <f>IF(Z74=1,J74-ROW()/100000,"")</f>
        <v/>
      </c>
      <c r="AB74" s="20">
        <f>B74&amp;"|"&amp;K74</f>
        <v/>
      </c>
    </row>
    <row r="75" ht="78" customHeight="1">
      <c r="A75" s="9" t="inlineStr">
        <is>
          <t>GB18</t>
        </is>
      </c>
      <c r="B75" s="5" t="inlineStr">
        <is>
          <t>Grafis &amp; bentuk</t>
        </is>
      </c>
      <c r="C75" s="11" t="inlineStr">
        <is>
          <t>Guilloché (pola sertifikat)</t>
        </is>
      </c>
      <c r="D75" s="5" t="inlineStr">
        <is>
          <t>Pola garis halus berpilin seperti di sertifikat dan uang kertas.</t>
        </is>
      </c>
      <c r="E75" s="28" t="inlineStr">
        <is>
          <t>Bisa</t>
        </is>
      </c>
      <c r="F75" s="9" t="inlineStr"/>
      <c r="G75" s="9" t="n">
        <v>3</v>
      </c>
      <c r="H75" s="9" t="n">
        <v>8</v>
      </c>
      <c r="I75" s="9" t="n">
        <v>9</v>
      </c>
      <c r="J75" s="26">
        <f>IF(E75="Tidak cocok","",ROUND(H75*W_GAYA_WOW+I75*W_GAYA_MEREK+(11-2*G75)*W_GAYA_MUDAH,1))</f>
        <v/>
      </c>
      <c r="K75" s="9">
        <f>IF(Z75=1,COUNTIFS($B$2:$B$254,B75,$AA$2:$AA$254,"&gt;"&amp;AA75)+1,"—")</f>
        <v/>
      </c>
      <c r="L75" s="9" t="n">
        <v>2</v>
      </c>
      <c r="M75" s="11" t="inlineStr">
        <is>
          <t>Bukti</t>
        </is>
      </c>
      <c r="N75" s="9" t="inlineStr">
        <is>
          <t>Logika dipatahkan</t>
        </is>
      </c>
      <c r="O75" s="5" t="inlineStr">
        <is>
          <t>“Klik ‘Setuju’ tanpa bukti sama dengan tidak pernah setuju.”</t>
        </is>
      </c>
      <c r="P75" s="5" t="inlineStr">
        <is>
          <t>Pola guilloché tergambar → jadi lembar bukti persetujuan: siapa, kapan, kanal → CTA</t>
        </is>
      </c>
      <c r="Q75" s="24" t="n">
        <v>0.2</v>
      </c>
      <c r="R75" s="27">
        <f>IF(Q75="","",1-Q75)</f>
        <v/>
      </c>
      <c r="S75" s="5">
        <f>IF(Q75="","—",TEXT(1-Q75,"0%")&amp;" edukasi · "&amp;TEXT(Q75,"0%")&amp;" meme")</f>
        <v/>
      </c>
      <c r="T75" s="5" t="inlineStr">
        <is>
          <t>Consent (log &amp; bukti)</t>
        </is>
      </c>
      <c r="U75" s="5" t="inlineStr">
        <is>
          <t>consent-detail</t>
        </is>
      </c>
      <c r="V75" s="9" t="inlineStr">
        <is>
          <t>15 dtk</t>
        </is>
      </c>
      <c r="W75" s="5" t="inlineStr">
        <is>
          <t>M08</t>
        </is>
      </c>
      <c r="X75" s="5" t="inlineStr">
        <is>
          <t>Kurva rosette (rumus epitrochoid) digambar stroke; bingkai sertifikat.</t>
        </is>
      </c>
      <c r="Y75" s="5" t="inlineStr"/>
      <c r="Z75" s="5">
        <f>IF(OR(E75="Bisa",E75="Berat"),1,0)</f>
        <v/>
      </c>
      <c r="AA75" s="5">
        <f>IF(Z75=1,J75-ROW()/100000,"")</f>
        <v/>
      </c>
      <c r="AB75" s="5">
        <f>B75&amp;"|"&amp;K75</f>
        <v/>
      </c>
    </row>
    <row r="76" ht="78" customHeight="1">
      <c r="A76" s="19" t="inlineStr">
        <is>
          <t>GB19</t>
        </is>
      </c>
      <c r="B76" s="20" t="inlineStr">
        <is>
          <t>Grafis &amp; bentuk</t>
        </is>
      </c>
      <c r="C76" s="21" t="inlineStr">
        <is>
          <t>Batik geometris (kawung)</t>
        </is>
      </c>
      <c r="D76" s="20" t="inlineStr">
        <is>
          <t>Motif kawung/ceplok tersusun berulang dan berputar pelan.</t>
        </is>
      </c>
      <c r="E76" s="28" t="inlineStr">
        <is>
          <t>Bisa</t>
        </is>
      </c>
      <c r="F76" s="19" t="inlineStr"/>
      <c r="G76" s="19" t="n">
        <v>3</v>
      </c>
      <c r="H76" s="19" t="n">
        <v>8</v>
      </c>
      <c r="I76" s="19" t="n">
        <v>8</v>
      </c>
      <c r="J76" s="23">
        <f>IF(E76="Tidak cocok","",ROUND(H76*W_GAYA_WOW+I76*W_GAYA_MEREK+(11-2*G76)*W_GAYA_MUDAH,1))</f>
        <v/>
      </c>
      <c r="K76" s="19">
        <f>IF(Z76=1,COUNTIFS($B$2:$B$254,B76,$AA$2:$AA$254,"&gt;"&amp;AA76)+1,"—")</f>
        <v/>
      </c>
      <c r="L76" s="19" t="n">
        <v>2</v>
      </c>
      <c r="M76" s="21" t="inlineStr">
        <is>
          <t>Pola</t>
        </is>
      </c>
      <c r="N76" s="19" t="inlineStr">
        <is>
          <t>Anomali</t>
        </is>
      </c>
      <c r="O76" s="20" t="inlineStr">
        <is>
          <t>“Pola yang rapi selalu lahir dari aturan yang jelas.”</t>
        </is>
      </c>
      <c r="P76" s="20" t="inlineStr">
        <is>
          <t>Satu elips → kawung → kain penuh → aturannya: UU PDP &amp; PP 33 → Nexus → CTA</t>
        </is>
      </c>
      <c r="Q76" s="24" t="n">
        <v>0.3</v>
      </c>
      <c r="R76" s="25">
        <f>IF(Q76="","",1-Q76)</f>
        <v/>
      </c>
      <c r="S76" s="20">
        <f>IF(Q76="","—",TEXT(1-Q76,"0%")&amp;" edukasi · "&amp;TEXT(Q76,"0%")&amp;" meme")</f>
        <v/>
      </c>
      <c r="T76" s="20" t="inlineStr">
        <is>
          <t>Brand, Platform</t>
        </is>
      </c>
      <c r="U76" s="20" t="inlineStr">
        <is>
          <t>—</t>
        </is>
      </c>
      <c r="V76" s="19" t="inlineStr">
        <is>
          <t>15 dtk</t>
        </is>
      </c>
      <c r="W76" s="20" t="inlineStr">
        <is>
          <t>Baru (lokal)</t>
        </is>
      </c>
      <c r="X76" s="20" t="inlineStr">
        <is>
          <t>Elips SVG berulang dalam grid; muncul bergelombang dari tengah.</t>
        </is>
      </c>
      <c r="Y76" s="20" t="inlineStr">
        <is>
          <t>Pakai motif umum (kawung/ceplok); hormati makna budaya.</t>
        </is>
      </c>
      <c r="Z76" s="20">
        <f>IF(OR(E76="Bisa",E76="Berat"),1,0)</f>
        <v/>
      </c>
      <c r="AA76" s="20">
        <f>IF(Z76=1,J76-ROW()/100000,"")</f>
        <v/>
      </c>
      <c r="AB76" s="20">
        <f>B76&amp;"|"&amp;K76</f>
        <v/>
      </c>
    </row>
    <row r="77" ht="78" customHeight="1">
      <c r="A77" s="9" t="inlineStr">
        <is>
          <t>GB20</t>
        </is>
      </c>
      <c r="B77" s="5" t="inlineStr">
        <is>
          <t>Grafis &amp; bentuk</t>
        </is>
      </c>
      <c r="C77" s="11" t="inlineStr">
        <is>
          <t>Diagram Venn</t>
        </is>
      </c>
      <c r="D77" s="5" t="inlineStr">
        <is>
          <t>Lingkaran tembus pandang saling bertumpuk; irisan diberi label.</t>
        </is>
      </c>
      <c r="E77" s="22" t="inlineStr">
        <is>
          <t>Sudah</t>
        </is>
      </c>
      <c r="F77" s="9" t="inlineStr">
        <is>
          <t>GB20</t>
        </is>
      </c>
      <c r="G77" s="9" t="n">
        <v>1</v>
      </c>
      <c r="H77" s="9" t="n">
        <v>7</v>
      </c>
      <c r="I77" s="9" t="n">
        <v>8</v>
      </c>
      <c r="J77" s="26">
        <f>IF(E77="Tidak cocok","",ROUND(H77*W_GAYA_WOW+I77*W_GAYA_MEREK+(11-2*G77)*W_GAYA_MUDAH,1))</f>
        <v/>
      </c>
      <c r="K77" s="9">
        <f>IF(Z77=1,COUNTIFS($B$2:$B$254,B77,$AA$2:$AA$254,"&gt;"&amp;AA77)+1,"—")</f>
        <v/>
      </c>
      <c r="L77" s="9" t="n">
        <v>2</v>
      </c>
      <c r="M77" s="11" t="inlineStr">
        <is>
          <t>Irisan</t>
        </is>
      </c>
      <c r="N77" s="9" t="inlineStr">
        <is>
          <t>Relate</t>
        </is>
      </c>
      <c r="O77" s="5" t="inlineStr">
        <is>
          <t>“Legal. IT. Bisnis. Yang di tengah itu kamu, DPO.”</t>
        </is>
      </c>
      <c r="P77" s="5" t="inlineStr">
        <is>
          <t>Tiga lingkaran mendekat → irisan tengah menyala → antrean kerja &amp; Priva → CTA</t>
        </is>
      </c>
      <c r="Q77" s="24" t="n">
        <v>0.3</v>
      </c>
      <c r="R77" s="27">
        <f>IF(Q77="","",1-Q77)</f>
        <v/>
      </c>
      <c r="S77" s="5">
        <f>IF(Q77="","—",TEXT(1-Q77,"0%")&amp;" edukasi · "&amp;TEXT(Q77,"0%")&amp;" meme")</f>
        <v/>
      </c>
      <c r="T77" s="5" t="inlineStr">
        <is>
          <t>Dukungan PPDP</t>
        </is>
      </c>
      <c r="U77" s="5" t="inlineStr">
        <is>
          <t>ai-agent-home</t>
        </is>
      </c>
      <c r="V77" s="9" t="inlineStr">
        <is>
          <t>10 dtk</t>
        </is>
      </c>
      <c r="W77" s="5" t="inlineStr">
        <is>
          <t>A12 / A13</t>
        </is>
      </c>
      <c r="X77" s="5" t="inlineStr">
        <is>
          <t>Lingkaran mix-blend; label muncul di irisan.</t>
        </is>
      </c>
      <c r="Y77" s="5" t="inlineStr"/>
      <c r="Z77" s="5">
        <f>IF(OR(E77="Bisa",E77="Berat"),1,0)</f>
        <v/>
      </c>
      <c r="AA77" s="5">
        <f>IF(Z77=1,J77-ROW()/100000,"")</f>
        <v/>
      </c>
      <c r="AB77" s="5">
        <f>B77&amp;"|"&amp;K77</f>
        <v/>
      </c>
    </row>
    <row r="78" ht="78" customHeight="1">
      <c r="A78" s="19" t="inlineStr">
        <is>
          <t>GB21</t>
        </is>
      </c>
      <c r="B78" s="20" t="inlineStr">
        <is>
          <t>Grafis &amp; bentuk</t>
        </is>
      </c>
      <c r="C78" s="21" t="inlineStr">
        <is>
          <t>Flowchart / pohon keputusan</t>
        </is>
      </c>
      <c r="D78" s="20" t="inlineStr">
        <is>
          <t>Kotak dan belah ketupat terhubung panah; jalur aktif menyala.</t>
        </is>
      </c>
      <c r="E78" s="28" t="inlineStr">
        <is>
          <t>Bisa</t>
        </is>
      </c>
      <c r="F78" s="19" t="inlineStr"/>
      <c r="G78" s="19" t="n">
        <v>2</v>
      </c>
      <c r="H78" s="19" t="n">
        <v>6</v>
      </c>
      <c r="I78" s="19" t="n">
        <v>9</v>
      </c>
      <c r="J78" s="23">
        <f>IF(E78="Tidak cocok","",ROUND(H78*W_GAYA_WOW+I78*W_GAYA_MEREK+(11-2*G78)*W_GAYA_MUDAH,1))</f>
        <v/>
      </c>
      <c r="K78" s="19">
        <f>IF(Z78=1,COUNTIFS($B$2:$B$254,B78,$AA$2:$AA$254,"&gt;"&amp;AA78)+1,"—")</f>
        <v/>
      </c>
      <c r="L78" s="19" t="n">
        <v>2</v>
      </c>
      <c r="M78" s="21" t="inlineStr">
        <is>
          <t>Apakah Ini Data Pribadi?</t>
        </is>
      </c>
      <c r="N78" s="19" t="inlineStr">
        <is>
          <t>Relate</t>
        </is>
      </c>
      <c r="O78" s="20" t="inlineStr">
        <is>
          <t>“Flowchart paling jujur di kantor: ‘Apakah ini data pribadi?’”</t>
        </is>
      </c>
      <c r="P78" s="20" t="inlineStr">
        <is>
          <t>Pertanyaan → Ya → spesifik? → Ya → risiko TINGGI → draf DPIA otomatis → CTA</t>
        </is>
      </c>
      <c r="Q78" s="24" t="n">
        <v>0.2</v>
      </c>
      <c r="R78" s="25">
        <f>IF(Q78="","",1-Q78)</f>
        <v/>
      </c>
      <c r="S78" s="20">
        <f>IF(Q78="","—",TEXT(1-Q78,"0%")&amp;" edukasi · "&amp;TEXT(Q78,"0%")&amp;" meme")</f>
        <v/>
      </c>
      <c r="T78" s="20" t="inlineStr">
        <is>
          <t>RoPA → DPIA otomatis</t>
        </is>
      </c>
      <c r="U78" s="20" t="inlineStr">
        <is>
          <t>ropa-data-spesifik</t>
        </is>
      </c>
      <c r="V78" s="19" t="inlineStr">
        <is>
          <t>15 dtk</t>
        </is>
      </c>
      <c r="W78" s="20" t="inlineStr">
        <is>
          <t>A11</t>
        </is>
      </c>
      <c r="X78" s="20" t="inlineStr">
        <is>
          <t>Node div + panah SVG digambar; jalur disorot mengikuti VO.</t>
        </is>
      </c>
      <c r="Y78" s="20" t="inlineStr"/>
      <c r="Z78" s="20">
        <f>IF(OR(E78="Bisa",E78="Berat"),1,0)</f>
        <v/>
      </c>
      <c r="AA78" s="20">
        <f>IF(Z78=1,J78-ROW()/100000,"")</f>
        <v/>
      </c>
      <c r="AB78" s="20">
        <f>B78&amp;"|"&amp;K78</f>
        <v/>
      </c>
    </row>
    <row r="79" ht="78" customHeight="1">
      <c r="A79" s="9" t="inlineStr">
        <is>
          <t>GB22</t>
        </is>
      </c>
      <c r="B79" s="5" t="inlineStr">
        <is>
          <t>Grafis &amp; bentuk</t>
        </is>
      </c>
      <c r="C79" s="11" t="inlineStr">
        <is>
          <t>Mind map / graf simpul</t>
        </is>
      </c>
      <c r="D79" s="5" t="inlineStr">
        <is>
          <t>Simpul-simpul terhubung garis; satu ditarik, yang lain ikut bergerak.</t>
        </is>
      </c>
      <c r="E79" s="28" t="inlineStr">
        <is>
          <t>Bisa</t>
        </is>
      </c>
      <c r="F79" s="9" t="inlineStr"/>
      <c r="G79" s="9" t="n">
        <v>3</v>
      </c>
      <c r="H79" s="9" t="n">
        <v>7</v>
      </c>
      <c r="I79" s="9" t="n">
        <v>9</v>
      </c>
      <c r="J79" s="26">
        <f>IF(E79="Tidak cocok","",ROUND(H79*W_GAYA_WOW+I79*W_GAYA_MEREK+(11-2*G79)*W_GAYA_MUDAH,1))</f>
        <v/>
      </c>
      <c r="K79" s="9">
        <f>IF(Z79=1,COUNTIFS($B$2:$B$254,B79,$AA$2:$AA$254,"&gt;"&amp;AA79)+1,"—")</f>
        <v/>
      </c>
      <c r="L79" s="9" t="n">
        <v>2</v>
      </c>
      <c r="M79" s="11" t="inlineStr">
        <is>
          <t>Tarik Satu</t>
        </is>
      </c>
      <c r="N79" s="9" t="inlineStr">
        <is>
          <t>Anomali</t>
        </is>
      </c>
      <c r="O79" s="5" t="inlineStr">
        <is>
          <t>“Tarik satu data. Lihat apa saja yang ikut bergerak.”</t>
        </is>
      </c>
      <c r="P79" s="5" t="inlineStr">
        <is>
          <t>Simpul “data pelanggan” ditarik → RoPA, DPIA, pihak ketiga, kontrak ikut → semua saling terkait di Nexus → CTA</t>
        </is>
      </c>
      <c r="Q79" s="24" t="n">
        <v>0.2</v>
      </c>
      <c r="R79" s="27">
        <f>IF(Q79="","",1-Q79)</f>
        <v/>
      </c>
      <c r="S79" s="5">
        <f>IF(Q79="","—",TEXT(1-Q79,"0%")&amp;" edukasi · "&amp;TEXT(Q79,"0%")&amp;" meme")</f>
        <v/>
      </c>
      <c r="T79" s="5" t="inlineStr">
        <is>
          <t>Platform, Pihak Ketiga</t>
        </is>
      </c>
      <c r="U79" s="5" t="inlineStr">
        <is>
          <t>—</t>
        </is>
      </c>
      <c r="V79" s="9" t="inlineStr">
        <is>
          <t>15 dtk</t>
        </is>
      </c>
      <c r="W79" s="5" t="inlineStr">
        <is>
          <t>Baru</t>
        </is>
      </c>
      <c r="X79" s="5" t="inlineStr">
        <is>
          <t>Posisi simpul dari rumus pegas sederhana (deterministik); garis mengikuti.</t>
        </is>
      </c>
      <c r="Y79" s="5" t="inlineStr"/>
      <c r="Z79" s="5">
        <f>IF(OR(E79="Bisa",E79="Berat"),1,0)</f>
        <v/>
      </c>
      <c r="AA79" s="5">
        <f>IF(Z79=1,J79-ROW()/100000,"")</f>
        <v/>
      </c>
      <c r="AB79" s="5">
        <f>B79&amp;"|"&amp;K79</f>
        <v/>
      </c>
    </row>
    <row r="80" ht="78" customHeight="1">
      <c r="A80" s="19" t="inlineStr">
        <is>
          <t>GB23</t>
        </is>
      </c>
      <c r="B80" s="20" t="inlineStr">
        <is>
          <t>Grafis &amp; bentuk</t>
        </is>
      </c>
      <c r="C80" s="21" t="inlineStr">
        <is>
          <t>Linimasa / Gantt</t>
        </is>
      </c>
      <c r="D80" s="20" t="inlineStr">
        <is>
          <t>Garis waktu horizontal dengan batang tahapan yang terisi.</t>
        </is>
      </c>
      <c r="E80" s="22" t="inlineStr">
        <is>
          <t>Sudah</t>
        </is>
      </c>
      <c r="F80" s="19" t="inlineStr">
        <is>
          <t>GB23</t>
        </is>
      </c>
      <c r="G80" s="19" t="n">
        <v>1</v>
      </c>
      <c r="H80" s="19" t="n">
        <v>5</v>
      </c>
      <c r="I80" s="19" t="n">
        <v>9</v>
      </c>
      <c r="J80" s="23">
        <f>IF(E80="Tidak cocok","",ROUND(H80*W_GAYA_WOW+I80*W_GAYA_MEREK+(11-2*G80)*W_GAYA_MUDAH,1))</f>
        <v/>
      </c>
      <c r="K80" s="19">
        <f>IF(Z80=1,COUNTIFS($B$2:$B$254,B80,$AA$2:$AA$254,"&gt;"&amp;AA80)+1,"—")</f>
        <v/>
      </c>
      <c r="L80" s="19" t="n">
        <v>2</v>
      </c>
      <c r="M80" s="21" t="inlineStr">
        <is>
          <t>Hitung Mundur Sudah Jalan</t>
        </is>
      </c>
      <c r="N80" s="19" t="inlineStr">
        <is>
          <t>Anomali</t>
        </is>
      </c>
      <c r="O80" s="20" t="inlineStr">
        <is>
          <t>“Hitung mundur sudah jalan. Rencanamu?”</t>
        </is>
      </c>
      <c r="P80" s="20" t="inlineStr">
        <is>
          <t>Garis waktu ke 16 Jan 2027 → tahapan program siap PP 33 terisi → CTA konsultasi</t>
        </is>
      </c>
      <c r="Q80" s="24" t="n">
        <v>0.2</v>
      </c>
      <c r="R80" s="25">
        <f>IF(Q80="","",1-Q80)</f>
        <v/>
      </c>
      <c r="S80" s="20">
        <f>IF(Q80="","—",TEXT(1-Q80,"0%")&amp;" edukasi · "&amp;TEXT(Q80,"0%")&amp;" meme")</f>
        <v/>
      </c>
      <c r="T80" s="20" t="inlineStr">
        <is>
          <t>Program siap PP 33</t>
        </is>
      </c>
      <c r="U80" s="20" t="inlineStr">
        <is>
          <t>—</t>
        </is>
      </c>
      <c r="V80" s="19" t="inlineStr">
        <is>
          <t>15 dtk</t>
        </is>
      </c>
      <c r="W80" s="20" t="inlineStr">
        <is>
          <t>P28 / N08</t>
        </is>
      </c>
      <c r="X80" s="20" t="inlineStr">
        <is>
          <t>Batang scaleX berurutan; penanda hari ini bergerak.</t>
        </is>
      </c>
      <c r="Y80" s="20" t="inlineStr"/>
      <c r="Z80" s="20">
        <f>IF(OR(E80="Bisa",E80="Berat"),1,0)</f>
        <v/>
      </c>
      <c r="AA80" s="20">
        <f>IF(Z80=1,J80-ROW()/100000,"")</f>
        <v/>
      </c>
      <c r="AB80" s="20">
        <f>B80&amp;"|"&amp;K80</f>
        <v/>
      </c>
    </row>
    <row r="81" ht="78" customHeight="1">
      <c r="A81" s="9" t="inlineStr">
        <is>
          <t>GB24</t>
        </is>
      </c>
      <c r="B81" s="5" t="inlineStr">
        <is>
          <t>Grafis &amp; bentuk</t>
        </is>
      </c>
      <c r="C81" s="11" t="inlineStr">
        <is>
          <t>Peta titik &amp; busur</t>
        </is>
      </c>
      <c r="D81" s="5" t="inlineStr">
        <is>
          <t>Peta dunia dari titik-titik; busur cahaya menghubungkan negara.</t>
        </is>
      </c>
      <c r="E81" s="34" t="inlineStr">
        <is>
          <t>Berat</t>
        </is>
      </c>
      <c r="F81" s="9" t="inlineStr"/>
      <c r="G81" s="9" t="n">
        <v>4</v>
      </c>
      <c r="H81" s="9" t="n">
        <v>8</v>
      </c>
      <c r="I81" s="9" t="n">
        <v>9</v>
      </c>
      <c r="J81" s="26">
        <f>IF(E81="Tidak cocok","",ROUND(H81*W_GAYA_WOW+I81*W_GAYA_MEREK+(11-2*G81)*W_GAYA_MUDAH,1))</f>
        <v/>
      </c>
      <c r="K81" s="9">
        <f>IF(Z81=1,COUNTIFS($B$2:$B$254,B81,$AA$2:$AA$254,"&gt;"&amp;AA81)+1,"—")</f>
        <v/>
      </c>
      <c r="L81" s="9" t="n">
        <v>2</v>
      </c>
      <c r="M81" s="11" t="inlineStr">
        <is>
          <t>Cloud-nya di Negara Mana?</t>
        </is>
      </c>
      <c r="N81" s="9" t="inlineStr">
        <is>
          <t>Logika dipatahkan</t>
        </is>
      </c>
      <c r="O81" s="5" t="inlineStr">
        <is>
          <t>“‘Datanya di mana?’ ‘Di cloud.’ ‘Cloud-nya di negara mana?’”</t>
        </is>
      </c>
      <c r="P81" s="5" t="inlineStr">
        <is>
          <t>Busur dari Indonesia ke luar → tanda tanya → register transfer + TIA → CTA</t>
        </is>
      </c>
      <c r="Q81" s="24" t="n">
        <v>0.2</v>
      </c>
      <c r="R81" s="27">
        <f>IF(Q81="","",1-Q81)</f>
        <v/>
      </c>
      <c r="S81" s="5">
        <f>IF(Q81="","—",TEXT(1-Q81,"0%")&amp;" edukasi · "&amp;TEXT(Q81,"0%")&amp;" meme")</f>
        <v/>
      </c>
      <c r="T81" s="5" t="inlineStr">
        <is>
          <t>Transfer Data Lintas Negara</t>
        </is>
      </c>
      <c r="U81" s="5" t="inlineStr">
        <is>
          <t>—</t>
        </is>
      </c>
      <c r="V81" s="9" t="inlineStr">
        <is>
          <t>20 dtk</t>
        </is>
      </c>
      <c r="W81" s="5" t="inlineStr">
        <is>
          <t>M14 / P10</t>
        </is>
      </c>
      <c r="X81" s="5" t="inlineStr">
        <is>
          <t>Titik peta dari data grid kasar; busur path digambar + kepala bercahaya.</t>
        </is>
      </c>
      <c r="Y81" s="5" t="inlineStr">
        <is>
          <t>Perlu data titik peta; tanpa nama penyedia cloud.</t>
        </is>
      </c>
      <c r="Z81" s="5">
        <f>IF(OR(E81="Bisa",E81="Berat"),1,0)</f>
        <v/>
      </c>
      <c r="AA81" s="5">
        <f>IF(Z81=1,J81-ROW()/100000,"")</f>
        <v/>
      </c>
      <c r="AB81" s="5">
        <f>B81&amp;"|"&amp;K81</f>
        <v/>
      </c>
    </row>
    <row r="82" ht="78" customHeight="1">
      <c r="A82" s="19" t="inlineStr">
        <is>
          <t>GB25</t>
        </is>
      </c>
      <c r="B82" s="20" t="inlineStr">
        <is>
          <t>Grafis &amp; bentuk</t>
        </is>
      </c>
      <c r="C82" s="21" t="inlineStr">
        <is>
          <t>Radar / sonar</t>
        </is>
      </c>
      <c r="D82" s="20" t="inlineStr">
        <is>
          <t>Layar radar hijau; jarum menyapu dan titik temuan menyala.</t>
        </is>
      </c>
      <c r="E82" s="28" t="inlineStr">
        <is>
          <t>Bisa</t>
        </is>
      </c>
      <c r="F82" s="19" t="inlineStr"/>
      <c r="G82" s="19" t="n">
        <v>2</v>
      </c>
      <c r="H82" s="19" t="n">
        <v>8</v>
      </c>
      <c r="I82" s="19" t="n">
        <v>8</v>
      </c>
      <c r="J82" s="23">
        <f>IF(E82="Tidak cocok","",ROUND(H82*W_GAYA_WOW+I82*W_GAYA_MEREK+(11-2*G82)*W_GAYA_MUDAH,1))</f>
        <v/>
      </c>
      <c r="K82" s="19">
        <f>IF(Z82=1,COUNTIFS($B$2:$B$254,B82,$AA$2:$AA$254,"&gt;"&amp;AA82)+1,"—")</f>
        <v/>
      </c>
      <c r="L82" s="19" t="n">
        <v>2</v>
      </c>
      <c r="M82" s="21" t="inlineStr">
        <is>
          <t>Yang Tidak Kamu Tahu Ada</t>
        </is>
      </c>
      <c r="N82" s="19" t="inlineStr">
        <is>
          <t>Logika dipatahkan</t>
        </is>
      </c>
      <c r="O82" s="20" t="inlineStr">
        <is>
          <t>“Data paling berisiko bukan yang paling sensitif. Tapi yang tidak kamu tahu ada.”</t>
        </is>
      </c>
      <c r="P82" s="20" t="inlineStr">
        <is>
          <t>Radar menyapu → titik temuan: NIK di kolom lama → dikaitkan ke RoPA → CTA</t>
        </is>
      </c>
      <c r="Q82" s="24" t="n">
        <v>0.3</v>
      </c>
      <c r="R82" s="25">
        <f>IF(Q82="","",1-Q82)</f>
        <v/>
      </c>
      <c r="S82" s="20">
        <f>IF(Q82="","—",TEXT(1-Q82,"0%")&amp;" edukasi · "&amp;TEXT(Q82,"0%")&amp;" meme")</f>
        <v/>
      </c>
      <c r="T82" s="20" t="inlineStr">
        <is>
          <t>Data Discovery</t>
        </is>
      </c>
      <c r="U82" s="20" t="inlineStr">
        <is>
          <t>—</t>
        </is>
      </c>
      <c r="V82" s="19" t="inlineStr">
        <is>
          <t>15 dtk</t>
        </is>
      </c>
      <c r="W82" s="20" t="inlineStr">
        <is>
          <t>M15 / P15</t>
        </is>
      </c>
      <c r="X82" s="20" t="inlineStr">
        <is>
          <t>Conic-gradient berputar + titik muncul saat tersapu; pendar memudar.</t>
        </is>
      </c>
      <c r="Y82" s="20" t="inlineStr"/>
      <c r="Z82" s="20">
        <f>IF(OR(E82="Bisa",E82="Berat"),1,0)</f>
        <v/>
      </c>
      <c r="AA82" s="20">
        <f>IF(Z82=1,J82-ROW()/100000,"")</f>
        <v/>
      </c>
      <c r="AB82" s="20">
        <f>B82&amp;"|"&amp;K82</f>
        <v/>
      </c>
    </row>
    <row r="83" ht="78" customHeight="1">
      <c r="A83" s="9" t="inlineStr">
        <is>
          <t>GB26</t>
        </is>
      </c>
      <c r="B83" s="5" t="inlineStr">
        <is>
          <t>Grafis &amp; bentuk</t>
        </is>
      </c>
      <c r="C83" s="11" t="inlineStr">
        <is>
          <t>Barcode / QR</t>
        </is>
      </c>
      <c r="D83" s="5" t="inlineStr">
        <is>
          <t>Garis barcode dan kotak QR tersusun, dipindai garis merah.</t>
        </is>
      </c>
      <c r="E83" s="28" t="inlineStr">
        <is>
          <t>Bisa</t>
        </is>
      </c>
      <c r="F83" s="9" t="inlineStr"/>
      <c r="G83" s="9" t="n">
        <v>1</v>
      </c>
      <c r="H83" s="9" t="n">
        <v>6</v>
      </c>
      <c r="I83" s="9" t="n">
        <v>8</v>
      </c>
      <c r="J83" s="26">
        <f>IF(E83="Tidak cocok","",ROUND(H83*W_GAYA_WOW+I83*W_GAYA_MEREK+(11-2*G83)*W_GAYA_MUDAH,1))</f>
        <v/>
      </c>
      <c r="K83" s="9">
        <f>IF(Z83=1,COUNTIFS($B$2:$B$254,B83,$AA$2:$AA$254,"&gt;"&amp;AA83)+1,"—")</f>
        <v/>
      </c>
      <c r="L83" s="9" t="n">
        <v>2</v>
      </c>
      <c r="M83" s="11" t="inlineStr">
        <is>
          <t>Semua Punya Nomor</t>
        </is>
      </c>
      <c r="N83" s="9" t="inlineStr">
        <is>
          <t>Anomali</t>
        </is>
      </c>
      <c r="O83" s="5" t="inlineStr">
        <is>
          <t>“Semua yang tercatat punya nomor. Yang tidak tercatat?”</t>
        </is>
      </c>
      <c r="P83" s="5" t="inlineStr">
        <is>
          <t>Barcode ROPA-, DPIA-, DSR-, BRC- dipindai → satu benda tanpa kode → CTA</t>
        </is>
      </c>
      <c r="Q83" s="24" t="n">
        <v>0.3</v>
      </c>
      <c r="R83" s="27">
        <f>IF(Q83="","",1-Q83)</f>
        <v/>
      </c>
      <c r="S83" s="5">
        <f>IF(Q83="","—",TEXT(1-Q83,"0%")&amp;" edukasi · "&amp;TEXT(Q83,"0%")&amp;" meme")</f>
        <v/>
      </c>
      <c r="T83" s="5" t="inlineStr">
        <is>
          <t>RoPA, DPIA, DSR, Insiden (kode otomatis)</t>
        </is>
      </c>
      <c r="U83" s="5" t="inlineStr">
        <is>
          <t>ropa-tersimpan</t>
        </is>
      </c>
      <c r="V83" s="9" t="inlineStr">
        <is>
          <t>10 dtk</t>
        </is>
      </c>
      <c r="W83" s="5" t="inlineStr">
        <is>
          <t>Baru</t>
        </is>
      </c>
      <c r="X83" s="5" t="inlineStr">
        <is>
          <t>Batang lebar dari hash; garis pindai; kode teks di bawah.</t>
        </is>
      </c>
      <c r="Y83" s="5" t="inlineStr"/>
      <c r="Z83" s="5">
        <f>IF(OR(E83="Bisa",E83="Berat"),1,0)</f>
        <v/>
      </c>
      <c r="AA83" s="5">
        <f>IF(Z83=1,J83-ROW()/100000,"")</f>
        <v/>
      </c>
      <c r="AB83" s="5">
        <f>B83&amp;"|"&amp;K83</f>
        <v/>
      </c>
    </row>
    <row r="84" ht="78" customHeight="1">
      <c r="A84" s="19" t="inlineStr">
        <is>
          <t>GB27</t>
        </is>
      </c>
      <c r="B84" s="20" t="inlineStr">
        <is>
          <t>Grafis &amp; bentuk</t>
        </is>
      </c>
      <c r="C84" s="21" t="inlineStr">
        <is>
          <t>Labirin</t>
        </is>
      </c>
      <c r="D84" s="20" t="inlineStr">
        <is>
          <t>Labirin dari atas; garis mencari jalan, buntu, lalu menemukan rute.</t>
        </is>
      </c>
      <c r="E84" s="22" t="inlineStr">
        <is>
          <t>Sudah</t>
        </is>
      </c>
      <c r="F84" s="19" t="inlineStr">
        <is>
          <t>GB27</t>
        </is>
      </c>
      <c r="G84" s="19" t="n">
        <v>3</v>
      </c>
      <c r="H84" s="19" t="n">
        <v>8</v>
      </c>
      <c r="I84" s="19" t="n">
        <v>8</v>
      </c>
      <c r="J84" s="23">
        <f>IF(E84="Tidak cocok","",ROUND(H84*W_GAYA_WOW+I84*W_GAYA_MEREK+(11-2*G84)*W_GAYA_MUDAH,1))</f>
        <v/>
      </c>
      <c r="K84" s="19">
        <f>IF(Z84=1,COUNTIFS($B$2:$B$254,B84,$AA$2:$AA$254,"&gt;"&amp;AA84)+1,"—")</f>
        <v/>
      </c>
      <c r="L84" s="19" t="n">
        <v>2</v>
      </c>
      <c r="M84" s="21" t="inlineStr">
        <is>
          <t>Mencari Satu Dokumen</t>
        </is>
      </c>
      <c r="N84" s="19" t="inlineStr">
        <is>
          <t>Relate</t>
        </is>
      </c>
      <c r="O84" s="20" t="inlineStr">
        <is>
          <t>“Beginilah rasanya mencari satu dokumen bukti saat audit.”</t>
        </is>
      </c>
      <c r="P84" s="20" t="inlineStr">
        <is>
          <t>Garis tersesat di labirin folder → tampilan atas: jalur lurus → analisis bukti per pertanyaan → CTA</t>
        </is>
      </c>
      <c r="Q84" s="24" t="n">
        <v>0.3</v>
      </c>
      <c r="R84" s="25">
        <f>IF(Q84="","",1-Q84)</f>
        <v/>
      </c>
      <c r="S84" s="20">
        <f>IF(Q84="","—",TEXT(1-Q84,"0%")&amp;" edukasi · "&amp;TEXT(Q84,"0%")&amp;" meme")</f>
        <v/>
      </c>
      <c r="T84" s="20" t="inlineStr">
        <is>
          <t>GAP Assessment (analisis bukti)</t>
        </is>
      </c>
      <c r="U84" s="20" t="inlineStr">
        <is>
          <t>gap-rekomendasi</t>
        </is>
      </c>
      <c r="V84" s="19" t="inlineStr">
        <is>
          <t>15 dtk</t>
        </is>
      </c>
      <c r="W84" s="20" t="inlineStr">
        <is>
          <t>Baru</t>
        </is>
      </c>
      <c r="X84" s="20" t="inlineStr">
        <is>
          <t>Labirin grid tetap; jalur solusi digambar stroke; jalan buntu berkedip.</t>
        </is>
      </c>
      <c r="Y84" s="20" t="inlineStr"/>
      <c r="Z84" s="20">
        <f>IF(OR(E84="Bisa",E84="Berat"),1,0)</f>
        <v/>
      </c>
      <c r="AA84" s="20">
        <f>IF(Z84=1,J84-ROW()/100000,"")</f>
        <v/>
      </c>
      <c r="AB84" s="20">
        <f>B84&amp;"|"&amp;K84</f>
        <v/>
      </c>
    </row>
    <row r="85" ht="78" customHeight="1">
      <c r="A85" s="9" t="inlineStr">
        <is>
          <t>GB28</t>
        </is>
      </c>
      <c r="B85" s="5" t="inlineStr">
        <is>
          <t>Grafis &amp; bentuk</t>
        </is>
      </c>
      <c r="C85" s="11" t="inlineStr">
        <is>
          <t>Puzzle</t>
        </is>
      </c>
      <c r="D85" s="5" t="inlineStr">
        <is>
          <t>Keping puzzle saling mengunci membentuk gambar.</t>
        </is>
      </c>
      <c r="E85" s="28" t="inlineStr">
        <is>
          <t>Bisa</t>
        </is>
      </c>
      <c r="F85" s="9" t="inlineStr"/>
      <c r="G85" s="9" t="n">
        <v>2</v>
      </c>
      <c r="H85" s="9" t="n">
        <v>6</v>
      </c>
      <c r="I85" s="9" t="n">
        <v>8</v>
      </c>
      <c r="J85" s="26">
        <f>IF(E85="Tidak cocok","",ROUND(H85*W_GAYA_WOW+I85*W_GAYA_MEREK+(11-2*G85)*W_GAYA_MUDAH,1))</f>
        <v/>
      </c>
      <c r="K85" s="9">
        <f>IF(Z85=1,COUNTIFS($B$2:$B$254,B85,$AA$2:$AA$254,"&gt;"&amp;AA85)+1,"—")</f>
        <v/>
      </c>
      <c r="L85" s="9" t="n">
        <v>2</v>
      </c>
      <c r="M85" s="11" t="inlineStr">
        <is>
          <t>Satu Keping Hilang</t>
        </is>
      </c>
      <c r="N85" s="9" t="inlineStr">
        <is>
          <t>Anomali</t>
        </is>
      </c>
      <c r="O85" s="5" t="inlineStr">
        <is>
          <t>“Satu keping hilang, gambarnya tidak pernah selesai.”</t>
        </is>
      </c>
      <c r="P85" s="5" t="inlineStr">
        <is>
          <t>Puzzle modul hampir lengkap → satu lubang: pihak ketiga → keping masuk → CTA</t>
        </is>
      </c>
      <c r="Q85" s="24" t="n">
        <v>0.3</v>
      </c>
      <c r="R85" s="27">
        <f>IF(Q85="","",1-Q85)</f>
        <v/>
      </c>
      <c r="S85" s="5">
        <f>IF(Q85="","—",TEXT(1-Q85,"0%")&amp;" edukasi · "&amp;TEXT(Q85,"0%")&amp;" meme")</f>
        <v/>
      </c>
      <c r="T85" s="5" t="inlineStr">
        <is>
          <t>Pihak Ketiga, Platform</t>
        </is>
      </c>
      <c r="U85" s="5" t="inlineStr">
        <is>
          <t>—</t>
        </is>
      </c>
      <c r="V85" s="9" t="inlineStr">
        <is>
          <t>10 dtk</t>
        </is>
      </c>
      <c r="W85" s="5" t="inlineStr">
        <is>
          <t>M13 (varian)</t>
        </is>
      </c>
      <c r="X85" s="5" t="inlineStr">
        <is>
          <t>Path keping dengan tonjolan; keping masuk dari luar layar.</t>
        </is>
      </c>
      <c r="Y85" s="5" t="inlineStr"/>
      <c r="Z85" s="5">
        <f>IF(OR(E85="Bisa",E85="Berat"),1,0)</f>
        <v/>
      </c>
      <c r="AA85" s="5">
        <f>IF(Z85=1,J85-ROW()/100000,"")</f>
        <v/>
      </c>
      <c r="AB85" s="5">
        <f>B85&amp;"|"&amp;K85</f>
        <v/>
      </c>
    </row>
    <row r="86" ht="78" customHeight="1">
      <c r="A86" s="19" t="inlineStr">
        <is>
          <t>GB29</t>
        </is>
      </c>
      <c r="B86" s="20" t="inlineStr">
        <is>
          <t>Grafis &amp; bentuk</t>
        </is>
      </c>
      <c r="C86" s="21" t="inlineStr">
        <is>
          <t>Efek domino</t>
        </is>
      </c>
      <c r="D86" s="20" t="inlineStr">
        <is>
          <t>Deretan domino jatuh berantai, bercabang, memicu hal berikutnya.</t>
        </is>
      </c>
      <c r="E86" s="28" t="inlineStr">
        <is>
          <t>Bisa</t>
        </is>
      </c>
      <c r="F86" s="19" t="inlineStr"/>
      <c r="G86" s="19" t="n">
        <v>3</v>
      </c>
      <c r="H86" s="19" t="n">
        <v>9</v>
      </c>
      <c r="I86" s="19" t="n">
        <v>9</v>
      </c>
      <c r="J86" s="23">
        <f>IF(E86="Tidak cocok","",ROUND(H86*W_GAYA_WOW+I86*W_GAYA_MEREK+(11-2*G86)*W_GAYA_MUDAH,1))</f>
        <v/>
      </c>
      <c r="K86" s="19">
        <f>IF(Z86=1,COUNTIFS($B$2:$B$254,B86,$AA$2:$AA$254,"&gt;"&amp;AA86)+1,"—")</f>
        <v/>
      </c>
      <c r="L86" s="19" t="n">
        <v>2</v>
      </c>
      <c r="M86" s="21" t="inlineStr">
        <is>
          <t>Satu Centang</t>
        </is>
      </c>
      <c r="N86" s="19" t="inlineStr">
        <is>
          <t>Anomali</t>
        </is>
      </c>
      <c r="O86" s="20" t="inlineStr">
        <is>
          <t>“Satu centang di formulir ini menjatuhkan semua yang ada di belakangnya.”</t>
        </is>
      </c>
      <c r="P86" s="20" t="inlineStr">
        <is>
          <t>Centang “data spesifik” → domino jatuh: risiko TINGGI → draf DPIA dibuat otomatis → rencana penanganan risiko → CTA</t>
        </is>
      </c>
      <c r="Q86" s="24" t="n">
        <v>0.2</v>
      </c>
      <c r="R86" s="25">
        <f>IF(Q86="","",1-Q86)</f>
        <v/>
      </c>
      <c r="S86" s="20">
        <f>IF(Q86="","—",TEXT(1-Q86,"0%")&amp;" edukasi · "&amp;TEXT(Q86,"0%")&amp;" meme")</f>
        <v/>
      </c>
      <c r="T86" s="20" t="inlineStr">
        <is>
          <t>RoPA → DPIA (otomatis)</t>
        </is>
      </c>
      <c r="U86" s="20" t="inlineStr">
        <is>
          <t>ropa-data-spesifik, dpia-list</t>
        </is>
      </c>
      <c r="V86" s="19" t="inlineStr">
        <is>
          <t>15 dtk</t>
        </is>
      </c>
      <c r="W86" s="20" t="inlineStr">
        <is>
          <t>A11 / M05</t>
        </is>
      </c>
      <c r="X86" s="20" t="inlineStr">
        <is>
          <t>Rotasi tiap keping berurutan dari rumus; cabang dengan jeda.</t>
        </is>
      </c>
      <c r="Y86" s="20" t="inlineStr"/>
      <c r="Z86" s="20">
        <f>IF(OR(E86="Bisa",E86="Berat"),1,0)</f>
        <v/>
      </c>
      <c r="AA86" s="20">
        <f>IF(Z86=1,J86-ROW()/100000,"")</f>
        <v/>
      </c>
      <c r="AB86" s="20">
        <f>B86&amp;"|"&amp;K86</f>
        <v/>
      </c>
    </row>
    <row r="87" ht="78" customHeight="1">
      <c r="A87" s="9" t="inlineStr">
        <is>
          <t>GB30</t>
        </is>
      </c>
      <c r="B87" s="5" t="inlineStr">
        <is>
          <t>Grafis &amp; bentuk</t>
        </is>
      </c>
      <c r="C87" s="11" t="inlineStr">
        <is>
          <t>Roda gigi</t>
        </is>
      </c>
      <c r="D87" s="5" t="inlineStr">
        <is>
          <t>Roda gigi berputar saling menggerakkan.</t>
        </is>
      </c>
      <c r="E87" s="28" t="inlineStr">
        <is>
          <t>Bisa</t>
        </is>
      </c>
      <c r="F87" s="9" t="inlineStr"/>
      <c r="G87" s="9" t="n">
        <v>2</v>
      </c>
      <c r="H87" s="9" t="n">
        <v>6</v>
      </c>
      <c r="I87" s="9" t="n">
        <v>8</v>
      </c>
      <c r="J87" s="26">
        <f>IF(E87="Tidak cocok","",ROUND(H87*W_GAYA_WOW+I87*W_GAYA_MEREK+(11-2*G87)*W_GAYA_MUDAH,1))</f>
        <v/>
      </c>
      <c r="K87" s="9">
        <f>IF(Z87=1,COUNTIFS($B$2:$B$254,B87,$AA$2:$AA$254,"&gt;"&amp;AA87)+1,"—")</f>
        <v/>
      </c>
      <c r="L87" s="9" t="n">
        <v>2</v>
      </c>
      <c r="M87" s="11" t="inlineStr">
        <is>
          <t>Tiga Roda</t>
        </is>
      </c>
      <c r="N87" s="9" t="inlineStr">
        <is>
          <t>Relate</t>
        </is>
      </c>
      <c r="O87" s="5" t="inlineStr">
        <is>
          <t>“Kalau satu orang jadi pembuat, penelaah, dan penyetuju sekaligus, itu bukan alur. Itu lingkaran.”</t>
        </is>
      </c>
      <c r="P87" s="5" t="inlineStr">
        <is>
          <t>Satu roda berputar sendiri → tiga roda: Maker, Reviewer, Approver → riwayat perubahan → CTA</t>
        </is>
      </c>
      <c r="Q87" s="24" t="n">
        <v>0.3</v>
      </c>
      <c r="R87" s="27">
        <f>IF(Q87="","",1-Q87)</f>
        <v/>
      </c>
      <c r="S87" s="5">
        <f>IF(Q87="","—",TEXT(1-Q87,"0%")&amp;" edukasi · "&amp;TEXT(Q87,"0%")&amp;" meme")</f>
        <v/>
      </c>
      <c r="T87" s="5" t="inlineStr">
        <is>
          <t>RoPA (alur Maker–Reviewer–Approver)</t>
        </is>
      </c>
      <c r="U87" s="5" t="inlineStr">
        <is>
          <t>—</t>
        </is>
      </c>
      <c r="V87" s="9" t="inlineStr">
        <is>
          <t>15 dtk</t>
        </is>
      </c>
      <c r="W87" s="5" t="inlineStr">
        <is>
          <t>Baru</t>
        </is>
      </c>
      <c r="X87" s="5" t="inlineStr">
        <is>
          <t>SVG roda gigi; rasio putar dari jumlah gigi.</t>
        </is>
      </c>
      <c r="Y87" s="5" t="inlineStr"/>
      <c r="Z87" s="5">
        <f>IF(OR(E87="Bisa",E87="Berat"),1,0)</f>
        <v/>
      </c>
      <c r="AA87" s="5">
        <f>IF(Z87=1,J87-ROW()/100000,"")</f>
        <v/>
      </c>
      <c r="AB87" s="5">
        <f>B87&amp;"|"&amp;K87</f>
        <v/>
      </c>
    </row>
    <row r="88" ht="78" customHeight="1">
      <c r="A88" s="19" t="inlineStr">
        <is>
          <t>GB31</t>
        </is>
      </c>
      <c r="B88" s="20" t="inlineStr">
        <is>
          <t>Grafis &amp; bentuk</t>
        </is>
      </c>
      <c r="C88" s="21" t="inlineStr">
        <is>
          <t>Timbangan (neraca)</t>
        </is>
      </c>
      <c r="D88" s="20" t="inlineStr">
        <is>
          <t>Neraca dua lengan; beban ditambah, lengan miring.</t>
        </is>
      </c>
      <c r="E88" s="28" t="inlineStr">
        <is>
          <t>Bisa</t>
        </is>
      </c>
      <c r="F88" s="19" t="inlineStr"/>
      <c r="G88" s="19" t="n">
        <v>2</v>
      </c>
      <c r="H88" s="19" t="n">
        <v>7</v>
      </c>
      <c r="I88" s="19" t="n">
        <v>9</v>
      </c>
      <c r="J88" s="23">
        <f>IF(E88="Tidak cocok","",ROUND(H88*W_GAYA_WOW+I88*W_GAYA_MEREK+(11-2*G88)*W_GAYA_MUDAH,1))</f>
        <v/>
      </c>
      <c r="K88" s="19">
        <f>IF(Z88=1,COUNTIFS($B$2:$B$254,B88,$AA$2:$AA$254,"&gt;"&amp;AA88)+1,"—")</f>
        <v/>
      </c>
      <c r="L88" s="19" t="n">
        <v>2</v>
      </c>
      <c r="M88" s="21" t="inlineStr">
        <is>
          <t>Bukan Tiket Bebas</t>
        </is>
      </c>
      <c r="N88" s="19" t="inlineStr">
        <is>
          <t>Logika dipatahkan</t>
        </is>
      </c>
      <c r="O88" s="20" t="inlineStr">
        <is>
          <t>“‘Kan kita punya kepentingan yang sah.’ Kalimat ini bukan tiket bebas.”</t>
        </is>
      </c>
      <c r="P88" s="20" t="inlineStr">
        <is>
          <t>Kepentingan organisasi di kiri, hak subjek data di kanan → ditimbang → hasil didokumentasikan (LIA) → CTA</t>
        </is>
      </c>
      <c r="Q88" s="24" t="n">
        <v>0.2</v>
      </c>
      <c r="R88" s="25">
        <f>IF(Q88="","",1-Q88)</f>
        <v/>
      </c>
      <c r="S88" s="20">
        <f>IF(Q88="","—",TEXT(1-Q88,"0%")&amp;" edukasi · "&amp;TEXT(Q88,"0%")&amp;" meme")</f>
        <v/>
      </c>
      <c r="T88" s="20" t="inlineStr">
        <is>
          <t>LIA</t>
        </is>
      </c>
      <c r="U88" s="20" t="inlineStr">
        <is>
          <t>—</t>
        </is>
      </c>
      <c r="V88" s="19" t="inlineStr">
        <is>
          <t>15 dtk</t>
        </is>
      </c>
      <c r="W88" s="20" t="inlineStr">
        <is>
          <t>M06 / P24</t>
        </is>
      </c>
      <c r="X88" s="20" t="inlineStr">
        <is>
          <t>Rotasi lengan dari selisih beban; piring menggantung tegak.</t>
        </is>
      </c>
      <c r="Y88" s="20" t="inlineStr">
        <is>
          <t>Perlu screenshot baru LIA.</t>
        </is>
      </c>
      <c r="Z88" s="20">
        <f>IF(OR(E88="Bisa",E88="Berat"),1,0)</f>
        <v/>
      </c>
      <c r="AA88" s="20">
        <f>IF(Z88=1,J88-ROW()/100000,"")</f>
        <v/>
      </c>
      <c r="AB88" s="20">
        <f>B88&amp;"|"&amp;K88</f>
        <v/>
      </c>
    </row>
    <row r="89" ht="78" customHeight="1">
      <c r="A89" s="9" t="inlineStr">
        <is>
          <t>GB32</t>
        </is>
      </c>
      <c r="B89" s="5" t="inlineStr">
        <is>
          <t>Grafis &amp; bentuk</t>
        </is>
      </c>
      <c r="C89" s="11" t="inlineStr">
        <is>
          <t>Menara balok</t>
        </is>
      </c>
      <c r="D89" s="5" t="inlineStr">
        <is>
          <t>Menara balok kayu; satu balok ditarik, menara goyah.</t>
        </is>
      </c>
      <c r="E89" s="28" t="inlineStr">
        <is>
          <t>Bisa</t>
        </is>
      </c>
      <c r="F89" s="9" t="inlineStr"/>
      <c r="G89" s="9" t="n">
        <v>3</v>
      </c>
      <c r="H89" s="9" t="n">
        <v>8</v>
      </c>
      <c r="I89" s="9" t="n">
        <v>8</v>
      </c>
      <c r="J89" s="26">
        <f>IF(E89="Tidak cocok","",ROUND(H89*W_GAYA_WOW+I89*W_GAYA_MEREK+(11-2*G89)*W_GAYA_MUDAH,1))</f>
        <v/>
      </c>
      <c r="K89" s="9">
        <f>IF(Z89=1,COUNTIFS($B$2:$B$254,B89,$AA$2:$AA$254,"&gt;"&amp;AA89)+1,"—")</f>
        <v/>
      </c>
      <c r="L89" s="9" t="n">
        <v>2</v>
      </c>
      <c r="M89" s="11" t="inlineStr">
        <is>
          <t>Balok yang Bukan Milikmu</t>
        </is>
      </c>
      <c r="N89" s="9" t="inlineStr">
        <is>
          <t>Anomali</t>
        </is>
      </c>
      <c r="O89" s="5" t="inlineStr">
        <is>
          <t>“Kebocoran bisa lewat pintu yang bukan milikmu.”</t>
        </is>
      </c>
      <c r="P89" s="5" t="inlineStr">
        <is>
          <t>Menara = sistemmu; balok bawah berlabel “pihak ketiga” ditarik → goyah → asesmen &amp; skor pihak ketiga → CTA</t>
        </is>
      </c>
      <c r="Q89" s="24" t="n">
        <v>0.3</v>
      </c>
      <c r="R89" s="27">
        <f>IF(Q89="","",1-Q89)</f>
        <v/>
      </c>
      <c r="S89" s="5">
        <f>IF(Q89="","—",TEXT(1-Q89,"0%")&amp;" edukasi · "&amp;TEXT(Q89,"0%")&amp;" meme")</f>
        <v/>
      </c>
      <c r="T89" s="5" t="inlineStr">
        <is>
          <t>Manajemen Risiko Pihak Ketiga</t>
        </is>
      </c>
      <c r="U89" s="5" t="inlineStr">
        <is>
          <t>—</t>
        </is>
      </c>
      <c r="V89" s="9" t="inlineStr">
        <is>
          <t>15 dtk</t>
        </is>
      </c>
      <c r="W89" s="5" t="inlineStr">
        <is>
          <t>M13 / P14</t>
        </is>
      </c>
      <c r="X89" s="5" t="inlineStr">
        <is>
          <t>Balok tersusun; goyangan dari rumus sinus teredam; runtuh terhitung.</t>
        </is>
      </c>
      <c r="Y89" s="5" t="inlineStr">
        <is>
          <t>Balok polos, tanpa merek mainan.</t>
        </is>
      </c>
      <c r="Z89" s="5">
        <f>IF(OR(E89="Bisa",E89="Berat"),1,0)</f>
        <v/>
      </c>
      <c r="AA89" s="5">
        <f>IF(Z89=1,J89-ROW()/100000,"")</f>
        <v/>
      </c>
      <c r="AB89" s="5">
        <f>B89&amp;"|"&amp;K89</f>
        <v/>
      </c>
    </row>
    <row r="90" ht="78" customHeight="1">
      <c r="A90" s="19" t="inlineStr">
        <is>
          <t>GB33</t>
        </is>
      </c>
      <c r="B90" s="20" t="inlineStr">
        <is>
          <t>Grafis &amp; bentuk</t>
        </is>
      </c>
      <c r="C90" s="21" t="inlineStr">
        <is>
          <t>Ban berjalan (pabrik)</t>
        </is>
      </c>
      <c r="D90" s="20" t="inlineStr">
        <is>
          <t>Ban berjalan pabrik; benda masuk mesin, keluar dalam bentuk baru.</t>
        </is>
      </c>
      <c r="E90" s="28" t="inlineStr">
        <is>
          <t>Bisa</t>
        </is>
      </c>
      <c r="F90" s="19" t="inlineStr"/>
      <c r="G90" s="19" t="n">
        <v>3</v>
      </c>
      <c r="H90" s="19" t="n">
        <v>8</v>
      </c>
      <c r="I90" s="19" t="n">
        <v>8</v>
      </c>
      <c r="J90" s="23">
        <f>IF(E90="Tidak cocok","",ROUND(H90*W_GAYA_WOW+I90*W_GAYA_MEREK+(11-2*G90)*W_GAYA_MUDAH,1))</f>
        <v/>
      </c>
      <c r="K90" s="19">
        <f>IF(Z90=1,COUNTIFS($B$2:$B$254,B90,$AA$2:$AA$254,"&gt;"&amp;AA90)+1,"—")</f>
        <v/>
      </c>
      <c r="L90" s="19" t="n">
        <v>2</v>
      </c>
      <c r="M90" s="21" t="inlineStr">
        <is>
          <t>Atau Jangan</t>
        </is>
      </c>
      <c r="N90" s="19" t="inlineStr">
        <is>
          <t>Reverse psychology</t>
        </is>
      </c>
      <c r="O90" s="20" t="inlineStr">
        <is>
          <t>“Silakan ketik ulang 200 dokumen RoPA-mu satu per satu… atau jangan.”</t>
        </is>
      </c>
      <c r="P90" s="20" t="inlineStr">
        <is>
          <t>Dokumen Word/Excel masuk mesin → keluar sebagai rekaman RoPA rapi → CTA</t>
        </is>
      </c>
      <c r="Q90" s="24" t="n">
        <v>0.3</v>
      </c>
      <c r="R90" s="25">
        <f>IF(Q90="","",1-Q90)</f>
        <v/>
      </c>
      <c r="S90" s="20">
        <f>IF(Q90="","—",TEXT(1-Q90,"0%")&amp;" edukasi · "&amp;TEXT(Q90,"0%")&amp;" meme")</f>
        <v/>
      </c>
      <c r="T90" s="20" t="inlineStr">
        <is>
          <t>Document Import (AI)</t>
        </is>
      </c>
      <c r="U90" s="20" t="inlineStr">
        <is>
          <t>—</t>
        </is>
      </c>
      <c r="V90" s="19" t="inlineStr">
        <is>
          <t>15 dtk</t>
        </is>
      </c>
      <c r="W90" s="20" t="inlineStr">
        <is>
          <t>M18 / P19</t>
        </is>
      </c>
      <c r="X90" s="20" t="inlineStr">
        <is>
          <t>Sabuk pola bergerak; mesin kotak dengan lampu; benda translateX.</t>
        </is>
      </c>
      <c r="Y90" s="20" t="inlineStr">
        <is>
          <t>“200” = ilustrasi.</t>
        </is>
      </c>
      <c r="Z90" s="20">
        <f>IF(OR(E90="Bisa",E90="Berat"),1,0)</f>
        <v/>
      </c>
      <c r="AA90" s="20">
        <f>IF(Z90=1,J90-ROW()/100000,"")</f>
        <v/>
      </c>
      <c r="AB90" s="20">
        <f>B90&amp;"|"&amp;K90</f>
        <v/>
      </c>
    </row>
    <row r="91" ht="78" customHeight="1">
      <c r="A91" s="9" t="inlineStr">
        <is>
          <t>GB34</t>
        </is>
      </c>
      <c r="B91" s="5" t="inlineStr">
        <is>
          <t>Grafis &amp; bentuk</t>
        </is>
      </c>
      <c r="C91" s="11" t="inlineStr">
        <is>
          <t>Pipa &amp; tetesan</t>
        </is>
      </c>
      <c r="D91" s="5" t="inlineStr">
        <is>
          <t>Jaringan pipa; satu sambungan menetes, tetesan makin cepat.</t>
        </is>
      </c>
      <c r="E91" s="28" t="inlineStr">
        <is>
          <t>Bisa</t>
        </is>
      </c>
      <c r="F91" s="9" t="inlineStr"/>
      <c r="G91" s="9" t="n">
        <v>2</v>
      </c>
      <c r="H91" s="9" t="n">
        <v>7</v>
      </c>
      <c r="I91" s="9" t="n">
        <v>8</v>
      </c>
      <c r="J91" s="26">
        <f>IF(E91="Tidak cocok","",ROUND(H91*W_GAYA_WOW+I91*W_GAYA_MEREK+(11-2*G91)*W_GAYA_MUDAH,1))</f>
        <v/>
      </c>
      <c r="K91" s="9">
        <f>IF(Z91=1,COUNTIFS($B$2:$B$254,B91,$AA$2:$AA$254,"&gt;"&amp;AA91)+1,"—")</f>
        <v/>
      </c>
      <c r="L91" s="9" t="n">
        <v>2</v>
      </c>
      <c r="M91" s="11" t="inlineStr">
        <is>
          <t>Tetes Pertama</t>
        </is>
      </c>
      <c r="N91" s="9" t="inlineStr">
        <is>
          <t>Anomali</t>
        </is>
      </c>
      <c r="O91" s="5" t="inlineStr">
        <is>
          <t>“Tetes pertama jarang terdengar.”</t>
        </is>
      </c>
      <c r="P91" s="5" t="inlineStr">
        <is>
          <t>Tetes kecil diabaikan → genangan → insiden dicatat: daftar periksa penahanan + hitung mundur → CTA</t>
        </is>
      </c>
      <c r="Q91" s="24" t="n">
        <v>0.3</v>
      </c>
      <c r="R91" s="27">
        <f>IF(Q91="","",1-Q91)</f>
        <v/>
      </c>
      <c r="S91" s="5">
        <f>IF(Q91="","—",TEXT(1-Q91,"0%")&amp;" edukasi · "&amp;TEXT(Q91,"0%")&amp;" meme")</f>
        <v/>
      </c>
      <c r="T91" s="5" t="inlineStr">
        <is>
          <t>Manajemen Insiden</t>
        </is>
      </c>
      <c r="U91" s="5" t="inlineStr">
        <is>
          <t>breach-fase</t>
        </is>
      </c>
      <c r="V91" s="9" t="inlineStr">
        <is>
          <t>15 dtk</t>
        </is>
      </c>
      <c r="W91" s="5" t="inlineStr">
        <is>
          <t>M11 (varian)</t>
        </is>
      </c>
      <c r="X91" s="5" t="inlineStr">
        <is>
          <t>Pipa path tebal; tetesan jatuh (rumus gravitasi); genangan membesar.</t>
        </is>
      </c>
      <c r="Y91" s="5" t="inlineStr"/>
      <c r="Z91" s="5">
        <f>IF(OR(E91="Bisa",E91="Berat"),1,0)</f>
        <v/>
      </c>
      <c r="AA91" s="5">
        <f>IF(Z91=1,J91-ROW()/100000,"")</f>
        <v/>
      </c>
      <c r="AB91" s="5">
        <f>B91&amp;"|"&amp;K91</f>
        <v/>
      </c>
    </row>
    <row r="92" ht="78" customHeight="1">
      <c r="A92" s="19" t="inlineStr">
        <is>
          <t>GB35</t>
        </is>
      </c>
      <c r="B92" s="20" t="inlineStr">
        <is>
          <t>Grafis &amp; bentuk</t>
        </is>
      </c>
      <c r="C92" s="21" t="inlineStr">
        <is>
          <t>Benang kusut → rapi</t>
        </is>
      </c>
      <c r="D92" s="20" t="inlineStr">
        <is>
          <t>Gulungan benang kusut ditarik perlahan menjadi garis rapi.</t>
        </is>
      </c>
      <c r="E92" s="28" t="inlineStr">
        <is>
          <t>Bisa</t>
        </is>
      </c>
      <c r="F92" s="19" t="inlineStr"/>
      <c r="G92" s="19" t="n">
        <v>3</v>
      </c>
      <c r="H92" s="19" t="n">
        <v>8</v>
      </c>
      <c r="I92" s="19" t="n">
        <v>8</v>
      </c>
      <c r="J92" s="23">
        <f>IF(E92="Tidak cocok","",ROUND(H92*W_GAYA_WOW+I92*W_GAYA_MEREK+(11-2*G92)*W_GAYA_MUDAH,1))</f>
        <v/>
      </c>
      <c r="K92" s="19">
        <f>IF(Z92=1,COUNTIFS($B$2:$B$254,B92,$AA$2:$AA$254,"&gt;"&amp;AA92)+1,"—")</f>
        <v/>
      </c>
      <c r="L92" s="19" t="n">
        <v>2</v>
      </c>
      <c r="M92" s="21" t="inlineStr">
        <is>
          <t>RoPA_final_revisi3_FIX</t>
        </is>
      </c>
      <c r="N92" s="19" t="inlineStr">
        <is>
          <t>Relate</t>
        </is>
      </c>
      <c r="O92" s="20" t="inlineStr">
        <is>
          <t>“Angkat tangan kalau kamu punya file bernama RoPA_final_revisi3_FIX.xlsx.”</t>
        </is>
      </c>
      <c r="P92" s="20" t="inlineStr">
        <is>
          <t>Benang kusut = versi file → ditarik jadi satu garis = satu register → CTA</t>
        </is>
      </c>
      <c r="Q92" s="24" t="n">
        <v>0.3</v>
      </c>
      <c r="R92" s="25">
        <f>IF(Q92="","",1-Q92)</f>
        <v/>
      </c>
      <c r="S92" s="20">
        <f>IF(Q92="","—",TEXT(1-Q92,"0%")&amp;" edukasi · "&amp;TEXT(Q92,"0%")&amp;" meme")</f>
        <v/>
      </c>
      <c r="T92" s="20" t="inlineStr">
        <is>
          <t>RoPA</t>
        </is>
      </c>
      <c r="U92" s="20" t="inlineStr">
        <is>
          <t>ropa-list-baru</t>
        </is>
      </c>
      <c r="V92" s="19" t="inlineStr">
        <is>
          <t>15 dtk</t>
        </is>
      </c>
      <c r="W92" s="20" t="inlineStr">
        <is>
          <t>M04 / P02</t>
        </is>
      </c>
      <c r="X92" s="20" t="inlineStr">
        <is>
          <t>Path kusut ↔ path lurus dengan jumlah titik sama; interpolasi.</t>
        </is>
      </c>
      <c r="Y92" s="20" t="inlineStr"/>
      <c r="Z92" s="20">
        <f>IF(OR(E92="Bisa",E92="Berat"),1,0)</f>
        <v/>
      </c>
      <c r="AA92" s="20">
        <f>IF(Z92=1,J92-ROW()/100000,"")</f>
        <v/>
      </c>
      <c r="AB92" s="20">
        <f>B92&amp;"|"&amp;K92</f>
        <v/>
      </c>
    </row>
    <row r="93" ht="78" customHeight="1">
      <c r="A93" s="9" t="inlineStr">
        <is>
          <t>GB36</t>
        </is>
      </c>
      <c r="B93" s="5" t="inlineStr">
        <is>
          <t>Grafis &amp; bentuk</t>
        </is>
      </c>
      <c r="C93" s="11" t="inlineStr">
        <is>
          <t>Rasi bintang</t>
        </is>
      </c>
      <c r="D93" s="5" t="inlineStr">
        <is>
          <t>Titik bintang dihubungkan garis membentuk rasi.</t>
        </is>
      </c>
      <c r="E93" s="28" t="inlineStr">
        <is>
          <t>Bisa</t>
        </is>
      </c>
      <c r="F93" s="9" t="inlineStr"/>
      <c r="G93" s="9" t="n">
        <v>2</v>
      </c>
      <c r="H93" s="9" t="n">
        <v>7</v>
      </c>
      <c r="I93" s="9" t="n">
        <v>8</v>
      </c>
      <c r="J93" s="26">
        <f>IF(E93="Tidak cocok","",ROUND(H93*W_GAYA_WOW+I93*W_GAYA_MEREK+(11-2*G93)*W_GAYA_MUDAH,1))</f>
        <v/>
      </c>
      <c r="K93" s="9">
        <f>IF(Z93=1,COUNTIFS($B$2:$B$254,B93,$AA$2:$AA$254,"&gt;"&amp;AA93)+1,"—")</f>
        <v/>
      </c>
      <c r="L93" s="9" t="n">
        <v>2</v>
      </c>
      <c r="M93" s="11" t="inlineStr">
        <is>
          <t>12 Bintang</t>
        </is>
      </c>
      <c r="N93" s="9" t="inlineStr">
        <is>
          <t>Anomali</t>
        </is>
      </c>
      <c r="O93" s="5" t="inlineStr">
        <is>
          <t>“12 anak usaha. Tanpa garis penghubung, itu cuma titik-titik.”</t>
        </is>
      </c>
      <c r="P93" s="5" t="inlineStr">
        <is>
          <t>12 bintang terpisah → garis menghubungkan → rasi = standar grup → dasbor holding → CTA</t>
        </is>
      </c>
      <c r="Q93" s="24" t="n">
        <v>0.3</v>
      </c>
      <c r="R93" s="27">
        <f>IF(Q93="","",1-Q93)</f>
        <v/>
      </c>
      <c r="S93" s="5">
        <f>IF(Q93="","—",TEXT(1-Q93,"0%")&amp;" edukasi · "&amp;TEXT(Q93,"0%")&amp;" meme")</f>
        <v/>
      </c>
      <c r="T93" s="5" t="inlineStr">
        <is>
          <t>Holding</t>
        </is>
      </c>
      <c r="U93" s="5" t="inlineStr">
        <is>
          <t>holding-header</t>
        </is>
      </c>
      <c r="V93" s="9" t="inlineStr">
        <is>
          <t>15 dtk</t>
        </is>
      </c>
      <c r="W93" s="5" t="inlineStr">
        <is>
          <t>M21 / A33</t>
        </is>
      </c>
      <c r="X93" s="5" t="inlineStr">
        <is>
          <t>Titik berkelip (hash) + garis digambar antarbintang.</t>
        </is>
      </c>
      <c r="Y93" s="5" t="inlineStr">
        <is>
          <t>Tanpa nama grup/perusahaan nyata.</t>
        </is>
      </c>
      <c r="Z93" s="5">
        <f>IF(OR(E93="Bisa",E93="Berat"),1,0)</f>
        <v/>
      </c>
      <c r="AA93" s="5">
        <f>IF(Z93=1,J93-ROW()/100000,"")</f>
        <v/>
      </c>
      <c r="AB93" s="5">
        <f>B93&amp;"|"&amp;K93</f>
        <v/>
      </c>
    </row>
    <row r="94" ht="78" customHeight="1">
      <c r="A94" s="19" t="inlineStr">
        <is>
          <t>GB37</t>
        </is>
      </c>
      <c r="B94" s="20" t="inlineStr">
        <is>
          <t>Grafis &amp; bentuk</t>
        </is>
      </c>
      <c r="C94" s="21" t="inlineStr">
        <is>
          <t>Garis detak (EKG)</t>
        </is>
      </c>
      <c r="D94" s="20" t="inlineStr">
        <is>
          <t>Garis monitor detak jantung berjalan; ritmenya berubah sesuai cerita.</t>
        </is>
      </c>
      <c r="E94" s="28" t="inlineStr">
        <is>
          <t>Bisa</t>
        </is>
      </c>
      <c r="F94" s="19" t="inlineStr"/>
      <c r="G94" s="19" t="n">
        <v>2</v>
      </c>
      <c r="H94" s="19" t="n">
        <v>7</v>
      </c>
      <c r="I94" s="19" t="n">
        <v>8</v>
      </c>
      <c r="J94" s="23">
        <f>IF(E94="Tidak cocok","",ROUND(H94*W_GAYA_WOW+I94*W_GAYA_MEREK+(11-2*G94)*W_GAYA_MUDAH,1))</f>
        <v/>
      </c>
      <c r="K94" s="19">
        <f>IF(Z94=1,COUNTIFS($B$2:$B$254,B94,$AA$2:$AA$254,"&gt;"&amp;AA94)+1,"—")</f>
        <v/>
      </c>
      <c r="L94" s="19" t="n">
        <v>2</v>
      </c>
      <c r="M94" s="21" t="inlineStr">
        <is>
          <t>Detak Jam 3 Pagi</t>
        </is>
      </c>
      <c r="N94" s="19" t="inlineStr">
        <is>
          <t>Relate</t>
        </is>
      </c>
      <c r="O94" s="20" t="inlineStr">
        <is>
          <t>“Detak jantung DPO saat notifikasi jam 3 pagi.”</t>
        </is>
      </c>
      <c r="P94" s="20" t="inlineStr">
        <is>
          <t>Detak tenang → melonjak saat notifikasi → stabil lagi saat alur 5 fase tampil → CTA</t>
        </is>
      </c>
      <c r="Q94" s="24" t="n">
        <v>0.3</v>
      </c>
      <c r="R94" s="25">
        <f>IF(Q94="","",1-Q94)</f>
        <v/>
      </c>
      <c r="S94" s="20">
        <f>IF(Q94="","—",TEXT(1-Q94,"0%")&amp;" edukasi · "&amp;TEXT(Q94,"0%")&amp;" meme")</f>
        <v/>
      </c>
      <c r="T94" s="20" t="inlineStr">
        <is>
          <t>Manajemen Insiden</t>
        </is>
      </c>
      <c r="U94" s="20" t="inlineStr">
        <is>
          <t>breach-detail</t>
        </is>
      </c>
      <c r="V94" s="19" t="inlineStr">
        <is>
          <t>10 dtk</t>
        </is>
      </c>
      <c r="W94" s="20" t="inlineStr">
        <is>
          <t>M11 / A44</t>
        </is>
      </c>
      <c r="X94" s="20" t="inlineStr">
        <is>
          <t>Path gelombang dari rumus; kepala garis bercahaya; grid monitor.</t>
        </is>
      </c>
      <c r="Y94" s="20" t="inlineStr"/>
      <c r="Z94" s="20">
        <f>IF(OR(E94="Bisa",E94="Berat"),1,0)</f>
        <v/>
      </c>
      <c r="AA94" s="20">
        <f>IF(Z94=1,J94-ROW()/100000,"")</f>
        <v/>
      </c>
      <c r="AB94" s="20">
        <f>B94&amp;"|"&amp;K94</f>
        <v/>
      </c>
    </row>
    <row r="95" ht="78" customHeight="1">
      <c r="A95" s="9" t="inlineStr">
        <is>
          <t>GB38</t>
        </is>
      </c>
      <c r="B95" s="5" t="inlineStr">
        <is>
          <t>Grafis &amp; bentuk</t>
        </is>
      </c>
      <c r="C95" s="11" t="inlineStr">
        <is>
          <t>Morph ikon</t>
        </is>
      </c>
      <c r="D95" s="5" t="inlineStr">
        <is>
          <t>Satu bentuk berubah mulus menjadi bentuk lain.</t>
        </is>
      </c>
      <c r="E95" s="28" t="inlineStr">
        <is>
          <t>Bisa</t>
        </is>
      </c>
      <c r="F95" s="9" t="inlineStr"/>
      <c r="G95" s="9" t="n">
        <v>3</v>
      </c>
      <c r="H95" s="9" t="n">
        <v>7</v>
      </c>
      <c r="I95" s="9" t="n">
        <v>9</v>
      </c>
      <c r="J95" s="26">
        <f>IF(E95="Tidak cocok","",ROUND(H95*W_GAYA_WOW+I95*W_GAYA_MEREK+(11-2*G95)*W_GAYA_MUDAH,1))</f>
        <v/>
      </c>
      <c r="K95" s="9">
        <f>IF(Z95=1,COUNTIFS($B$2:$B$254,B95,$AA$2:$AA$254,"&gt;"&amp;AA95)+1,"—")</f>
        <v/>
      </c>
      <c r="L95" s="9" t="n">
        <v>2</v>
      </c>
      <c r="M95" s="11" t="inlineStr">
        <is>
          <t>Dokumen Jadi Perisai</t>
        </is>
      </c>
      <c r="N95" s="9" t="inlineStr">
        <is>
          <t>Anomali</t>
        </is>
      </c>
      <c r="O95" s="5" t="inlineStr">
        <is>
          <t>“Dokumen yang tercatat berubah jadi ini.”</t>
        </is>
      </c>
      <c r="P95" s="5" t="inlineStr">
        <is>
          <t>Dokumen → perisai → gembok → logo</t>
        </is>
      </c>
      <c r="Q95" s="24" t="n">
        <v>0.2</v>
      </c>
      <c r="R95" s="27">
        <f>IF(Q95="","",1-Q95)</f>
        <v/>
      </c>
      <c r="S95" s="5">
        <f>IF(Q95="","—",TEXT(1-Q95,"0%")&amp;" edukasi · "&amp;TEXT(Q95,"0%")&amp;" meme")</f>
        <v/>
      </c>
      <c r="T95" s="5" t="inlineStr">
        <is>
          <t>Platform</t>
        </is>
      </c>
      <c r="U95" s="5" t="inlineStr">
        <is>
          <t>—</t>
        </is>
      </c>
      <c r="V95" s="9" t="inlineStr">
        <is>
          <t>5 dtk</t>
        </is>
      </c>
      <c r="W95" s="5" t="inlineStr">
        <is>
          <t>Baru (bumper logo)</t>
        </is>
      </c>
      <c r="X95" s="5" t="inlineStr">
        <is>
          <t>Interpolasi titik path dengan jumlah titik sama.</t>
        </is>
      </c>
      <c r="Y95" s="5" t="inlineStr"/>
      <c r="Z95" s="5">
        <f>IF(OR(E95="Bisa",E95="Berat"),1,0)</f>
        <v/>
      </c>
      <c r="AA95" s="5">
        <f>IF(Z95=1,J95-ROW()/100000,"")</f>
        <v/>
      </c>
      <c r="AB95" s="5">
        <f>B95&amp;"|"&amp;K95</f>
        <v/>
      </c>
    </row>
    <row r="96" ht="78" customHeight="1">
      <c r="A96" s="19" t="inlineStr">
        <is>
          <t>GB39</t>
        </is>
      </c>
      <c r="B96" s="20" t="inlineStr">
        <is>
          <t>Grafis &amp; bentuk</t>
        </is>
      </c>
      <c r="C96" s="21" t="inlineStr">
        <is>
          <t>Kaleidoskop</t>
        </is>
      </c>
      <c r="D96" s="20" t="inlineStr">
        <is>
          <t>Pola simetris berputar seperti teropong kaleidoskop.</t>
        </is>
      </c>
      <c r="E96" s="22" t="inlineStr">
        <is>
          <t>Sudah</t>
        </is>
      </c>
      <c r="F96" s="19" t="inlineStr">
        <is>
          <t>GB39</t>
        </is>
      </c>
      <c r="G96" s="19" t="n">
        <v>3</v>
      </c>
      <c r="H96" s="19" t="n">
        <v>8</v>
      </c>
      <c r="I96" s="19" t="n">
        <v>6</v>
      </c>
      <c r="J96" s="23">
        <f>IF(E96="Tidak cocok","",ROUND(H96*W_GAYA_WOW+I96*W_GAYA_MEREK+(11-2*G96)*W_GAYA_MUDAH,1))</f>
        <v/>
      </c>
      <c r="K96" s="19">
        <f>IF(Z96=1,COUNTIFS($B$2:$B$254,B96,$AA$2:$AA$254,"&gt;"&amp;AA96)+1,"—")</f>
        <v/>
      </c>
      <c r="L96" s="19" t="n">
        <v>2</v>
      </c>
      <c r="M96" s="21" t="inlineStr">
        <is>
          <t>Dari Dekat, Kacau</t>
        </is>
      </c>
      <c r="N96" s="19" t="inlineStr">
        <is>
          <t>Logika dipatahkan</t>
        </is>
      </c>
      <c r="O96" s="20" t="inlineStr">
        <is>
          <t>“Dari dekat terlihat kacau. Dari jauh, ini pola.”</t>
        </is>
      </c>
      <c r="P96" s="20" t="inlineStr">
        <is>
          <t>Potongan layar modul berputar → mundur: pola simetris → logo → CTA</t>
        </is>
      </c>
      <c r="Q96" s="24" t="n">
        <v>0.7</v>
      </c>
      <c r="R96" s="25">
        <f>IF(Q96="","",1-Q96)</f>
        <v/>
      </c>
      <c r="S96" s="20">
        <f>IF(Q96="","—",TEXT(1-Q96,"0%")&amp;" edukasi · "&amp;TEXT(Q96,"0%")&amp;" meme")</f>
        <v/>
      </c>
      <c r="T96" s="20" t="inlineStr">
        <is>
          <t>Platform</t>
        </is>
      </c>
      <c r="U96" s="20" t="inlineStr">
        <is>
          <t>dashboard</t>
        </is>
      </c>
      <c r="V96" s="19" t="inlineStr">
        <is>
          <t>10 dtk</t>
        </is>
      </c>
      <c r="W96" s="20" t="inlineStr">
        <is>
          <t>Baru (bumper)</t>
        </is>
      </c>
      <c r="X96" s="20" t="inlineStr">
        <is>
          <t>Satu irisan konten dicerminkan 6–8 kali (transform + clip-path).</t>
        </is>
      </c>
      <c r="Y96" s="20" t="inlineStr"/>
      <c r="Z96" s="20">
        <f>IF(OR(E96="Bisa",E96="Berat"),1,0)</f>
        <v/>
      </c>
      <c r="AA96" s="20">
        <f>IF(Z96=1,J96-ROW()/100000,"")</f>
        <v/>
      </c>
      <c r="AB96" s="20">
        <f>B96&amp;"|"&amp;K96</f>
        <v/>
      </c>
    </row>
    <row r="97" ht="78" customHeight="1">
      <c r="A97" s="9" t="inlineStr">
        <is>
          <t>GB40</t>
        </is>
      </c>
      <c r="B97" s="5" t="inlineStr">
        <is>
          <t>Grafis &amp; bentuk</t>
        </is>
      </c>
      <c r="C97" s="11" t="inlineStr">
        <is>
          <t>Speedometer / meter jarum</t>
        </is>
      </c>
      <c r="D97" s="5" t="inlineStr">
        <is>
          <t>Jarum meter bergerak dari merah ke hijau.</t>
        </is>
      </c>
      <c r="E97" s="28" t="inlineStr">
        <is>
          <t>Bisa</t>
        </is>
      </c>
      <c r="F97" s="9" t="inlineStr"/>
      <c r="G97" s="9" t="n">
        <v>1</v>
      </c>
      <c r="H97" s="9" t="n">
        <v>6</v>
      </c>
      <c r="I97" s="9" t="n">
        <v>9</v>
      </c>
      <c r="J97" s="26">
        <f>IF(E97="Tidak cocok","",ROUND(H97*W_GAYA_WOW+I97*W_GAYA_MEREK+(11-2*G97)*W_GAYA_MUDAH,1))</f>
        <v/>
      </c>
      <c r="K97" s="9">
        <f>IF(Z97=1,COUNTIFS($B$2:$B$254,B97,$AA$2:$AA$254,"&gt;"&amp;AA97)+1,"—")</f>
        <v/>
      </c>
      <c r="L97" s="9" t="n">
        <v>2</v>
      </c>
      <c r="M97" s="11" t="inlineStr">
        <is>
          <t>Berani Lihat Jarumnya?</t>
        </is>
      </c>
      <c r="N97" s="9" t="inlineStr">
        <is>
          <t>Reverse psychology</t>
        </is>
      </c>
      <c r="O97" s="5" t="inlineStr">
        <is>
          <t>“Jangan lihat jarum ini kalau belum siap.”</t>
        </is>
      </c>
      <c r="P97" s="5" t="inlineStr">
        <is>
          <t>Jarum bergetar → berhenti di 56 “Cukup” → tiga lapis penyusun skor → CTA</t>
        </is>
      </c>
      <c r="Q97" s="24" t="n">
        <v>0.2</v>
      </c>
      <c r="R97" s="27">
        <f>IF(Q97="","",1-Q97)</f>
        <v/>
      </c>
      <c r="S97" s="5">
        <f>IF(Q97="","—",TEXT(1-Q97,"0%")&amp;" edukasi · "&amp;TEXT(Q97,"0%")&amp;" meme")</f>
        <v/>
      </c>
      <c r="T97" s="5" t="inlineStr">
        <is>
          <t>Postur Privasi</t>
        </is>
      </c>
      <c r="U97" s="5" t="inlineStr">
        <is>
          <t>postur-privasi</t>
        </is>
      </c>
      <c r="V97" s="9" t="inlineStr">
        <is>
          <t>10 dtk</t>
        </is>
      </c>
      <c r="W97" s="5" t="inlineStr">
        <is>
          <t>M02 (varian)</t>
        </is>
      </c>
      <c r="X97" s="5" t="inlineStr">
        <is>
          <t>Busur conic-gradient + jarum rotasi dari nilai; angka menghitung.</t>
        </is>
      </c>
      <c r="Y97" s="5" t="inlineStr">
        <is>
          <t>Angka dari data demo di screenshot.</t>
        </is>
      </c>
      <c r="Z97" s="5">
        <f>IF(OR(E97="Bisa",E97="Berat"),1,0)</f>
        <v/>
      </c>
      <c r="AA97" s="5">
        <f>IF(Z97=1,J97-ROW()/100000,"")</f>
        <v/>
      </c>
      <c r="AB97" s="5">
        <f>B97&amp;"|"&amp;K97</f>
        <v/>
      </c>
    </row>
    <row r="98" ht="78" customHeight="1">
      <c r="A98" s="19" t="inlineStr">
        <is>
          <t>GB41</t>
        </is>
      </c>
      <c r="B98" s="20" t="inlineStr">
        <is>
          <t>Grafis &amp; bentuk</t>
        </is>
      </c>
      <c r="C98" s="21" t="inlineStr">
        <is>
          <t>Scanimation (ilusi garis geser)</t>
        </is>
      </c>
      <c r="D98" s="20" t="inlineStr">
        <is>
          <t>Kisi garis hitam digeser; gambar diam di bawahnya tampak bergerak.</t>
        </is>
      </c>
      <c r="E98" s="28" t="inlineStr">
        <is>
          <t>Bisa</t>
        </is>
      </c>
      <c r="F98" s="19" t="inlineStr"/>
      <c r="G98" s="19" t="n">
        <v>4</v>
      </c>
      <c r="H98" s="19" t="n">
        <v>10</v>
      </c>
      <c r="I98" s="19" t="n">
        <v>7</v>
      </c>
      <c r="J98" s="23">
        <f>IF(E98="Tidak cocok","",ROUND(H98*W_GAYA_WOW+I98*W_GAYA_MEREK+(11-2*G98)*W_GAYA_MUDAH,1))</f>
        <v/>
      </c>
      <c r="K98" s="19">
        <f>IF(Z98=1,COUNTIFS($B$2:$B$254,B98,$AA$2:$AA$254,"&gt;"&amp;AA98)+1,"—")</f>
        <v/>
      </c>
      <c r="L98" s="19" t="n">
        <v>2</v>
      </c>
      <c r="M98" s="21" t="inlineStr">
        <is>
          <t>Geser Garisnya</t>
        </is>
      </c>
      <c r="N98" s="19" t="inlineStr">
        <is>
          <t>Anomali</t>
        </is>
      </c>
      <c r="O98" s="20" t="inlineStr">
        <is>
          <t>“Gambar ini diam. Geser garisnya.”</t>
        </is>
      </c>
      <c r="P98" s="20" t="inlineStr">
        <is>
          <t>Kisi bergeser → ikon data tampak berjalan → “data tidak pernah diam” → RoPA mencatat alirannya → CTA</t>
        </is>
      </c>
      <c r="Q98" s="24" t="n">
        <v>0.5</v>
      </c>
      <c r="R98" s="25">
        <f>IF(Q98="","",1-Q98)</f>
        <v/>
      </c>
      <c r="S98" s="20">
        <f>IF(Q98="","—",TEXT(1-Q98,"0%")&amp;" edukasi · "&amp;TEXT(Q98,"0%")&amp;" meme")</f>
        <v/>
      </c>
      <c r="T98" s="20" t="inlineStr">
        <is>
          <t>RoPA, Data Discovery</t>
        </is>
      </c>
      <c r="U98" s="20" t="inlineStr">
        <is>
          <t>—</t>
        </is>
      </c>
      <c r="V98" s="19" t="inlineStr">
        <is>
          <t>15 dtk</t>
        </is>
      </c>
      <c r="W98" s="20" t="inlineStr">
        <is>
          <t>Baru</t>
        </is>
      </c>
      <c r="X98" s="20" t="inlineStr">
        <is>
          <t>Gambar gabungan 6 frame bergaris + masker kisi translateX.</t>
        </is>
      </c>
      <c r="Y98" s="20" t="inlineStr"/>
      <c r="Z98" s="20">
        <f>IF(OR(E98="Bisa",E98="Berat"),1,0)</f>
        <v/>
      </c>
      <c r="AA98" s="20">
        <f>IF(Z98=1,J98-ROW()/100000,"")</f>
        <v/>
      </c>
      <c r="AB98" s="20">
        <f>B98&amp;"|"&amp;K98</f>
        <v/>
      </c>
    </row>
    <row r="99" ht="78" customHeight="1">
      <c r="A99" s="9" t="inlineStr">
        <is>
          <t>GB42</t>
        </is>
      </c>
      <c r="B99" s="5" t="inlineStr">
        <is>
          <t>Grafis &amp; bentuk</t>
        </is>
      </c>
      <c r="C99" s="11" t="inlineStr">
        <is>
          <t>Bentuk mustahil (ilusi optik)</t>
        </is>
      </c>
      <c r="D99" s="5" t="inlineStr">
        <is>
          <t>Bentuk yang tampak masuk akal dari satu sudut, janggal saat diputar.</t>
        </is>
      </c>
      <c r="E99" s="28" t="inlineStr">
        <is>
          <t>Bisa</t>
        </is>
      </c>
      <c r="F99" s="9" t="inlineStr"/>
      <c r="G99" s="9" t="n">
        <v>4</v>
      </c>
      <c r="H99" s="9" t="n">
        <v>9</v>
      </c>
      <c r="I99" s="9" t="n">
        <v>8</v>
      </c>
      <c r="J99" s="26">
        <f>IF(E99="Tidak cocok","",ROUND(H99*W_GAYA_WOW+I99*W_GAYA_MEREK+(11-2*G99)*W_GAYA_MUDAH,1))</f>
        <v/>
      </c>
      <c r="K99" s="9">
        <f>IF(Z99=1,COUNTIFS($B$2:$B$254,B99,$AA$2:$AA$254,"&gt;"&amp;AA99)+1,"—")</f>
        <v/>
      </c>
      <c r="L99" s="9" t="n">
        <v>2</v>
      </c>
      <c r="M99" s="11" t="inlineStr">
        <is>
          <t>Dari Sudut Ini</t>
        </is>
      </c>
      <c r="N99" s="9" t="inlineStr">
        <is>
          <t>Logika dipatahkan</t>
        </is>
      </c>
      <c r="O99" s="5" t="inlineStr">
        <is>
          <t>“Dari sudut ini, semuanya terlihat patuh.”</t>
        </is>
      </c>
      <c r="P99" s="5" t="inlineStr">
        <is>
          <t>Tangga tampak tersambung → kamera berputar: ada celah → GAP Assessment menunjukkan celahnya → CTA</t>
        </is>
      </c>
      <c r="Q99" s="24" t="n">
        <v>0.3</v>
      </c>
      <c r="R99" s="27">
        <f>IF(Q99="","",1-Q99)</f>
        <v/>
      </c>
      <c r="S99" s="5">
        <f>IF(Q99="","—",TEXT(1-Q99,"0%")&amp;" edukasi · "&amp;TEXT(Q99,"0%")&amp;" meme")</f>
        <v/>
      </c>
      <c r="T99" s="5" t="inlineStr">
        <is>
          <t>GAP Assessment</t>
        </is>
      </c>
      <c r="U99" s="5" t="inlineStr">
        <is>
          <t>gap-hasil</t>
        </is>
      </c>
      <c r="V99" s="9" t="inlineStr">
        <is>
          <t>15 dtk</t>
        </is>
      </c>
      <c r="W99" s="5" t="inlineStr">
        <is>
          <t>Baru</t>
        </is>
      </c>
      <c r="X99" s="5" t="inlineStr">
        <is>
          <t>Susunan balok CSS 3D yang hanya sejajar dari satu sudut kamera.</t>
        </is>
      </c>
      <c r="Y99" s="5" t="inlineStr"/>
      <c r="Z99" s="5">
        <f>IF(OR(E99="Bisa",E99="Berat"),1,0)</f>
        <v/>
      </c>
      <c r="AA99" s="5">
        <f>IF(Z99=1,J99-ROW()/100000,"")</f>
        <v/>
      </c>
      <c r="AB99" s="5">
        <f>B99&amp;"|"&amp;K99</f>
        <v/>
      </c>
    </row>
    <row r="100" ht="78" customHeight="1">
      <c r="A100" s="19" t="inlineStr">
        <is>
          <t>GB43</t>
        </is>
      </c>
      <c r="B100" s="20" t="inlineStr">
        <is>
          <t>Grafis &amp; bentuk</t>
        </is>
      </c>
      <c r="C100" s="21" t="inlineStr">
        <is>
          <t>Bayangan berbeda</t>
        </is>
      </c>
      <c r="D100" s="20" t="inlineStr">
        <is>
          <t>Benda kecil dengan bayangan besar yang bentuknya lain.</t>
        </is>
      </c>
      <c r="E100" s="28" t="inlineStr">
        <is>
          <t>Bisa</t>
        </is>
      </c>
      <c r="F100" s="19" t="inlineStr"/>
      <c r="G100" s="19" t="n">
        <v>2</v>
      </c>
      <c r="H100" s="19" t="n">
        <v>8</v>
      </c>
      <c r="I100" s="19" t="n">
        <v>8</v>
      </c>
      <c r="J100" s="23">
        <f>IF(E100="Tidak cocok","",ROUND(H100*W_GAYA_WOW+I100*W_GAYA_MEREK+(11-2*G100)*W_GAYA_MUDAH,1))</f>
        <v/>
      </c>
      <c r="K100" s="19">
        <f>IF(Z100=1,COUNTIFS($B$2:$B$254,B100,$AA$2:$AA$254,"&gt;"&amp;AA100)+1,"—")</f>
        <v/>
      </c>
      <c r="L100" s="19" t="n">
        <v>2</v>
      </c>
      <c r="M100" s="21" t="inlineStr">
        <is>
          <t>Bayangannya</t>
        </is>
      </c>
      <c r="N100" s="19" t="inlineStr">
        <is>
          <t>Anomali</t>
        </is>
      </c>
      <c r="O100" s="20" t="inlineStr">
        <is>
          <t>“Fiturnya kecil. Bayangannya tidak.”</t>
        </is>
      </c>
      <c r="P100" s="20" t="inlineStr">
        <is>
          <t>Tombol “rekomendasi untukmu” → bayangan besar bertuliskan risiko → dinilai lewat DPIA → CTA</t>
        </is>
      </c>
      <c r="Q100" s="24" t="n">
        <v>0.3</v>
      </c>
      <c r="R100" s="25">
        <f>IF(Q100="","",1-Q100)</f>
        <v/>
      </c>
      <c r="S100" s="20">
        <f>IF(Q100="","—",TEXT(1-Q100,"0%")&amp;" edukasi · "&amp;TEXT(Q100,"0%")&amp;" meme")</f>
        <v/>
      </c>
      <c r="T100" s="20" t="inlineStr">
        <is>
          <t>DPIA</t>
        </is>
      </c>
      <c r="U100" s="20" t="inlineStr">
        <is>
          <t>dpia-risiko</t>
        </is>
      </c>
      <c r="V100" s="19" t="inlineStr">
        <is>
          <t>15 dtk</t>
        </is>
      </c>
      <c r="W100" s="20" t="inlineStr">
        <is>
          <t>M05</t>
        </is>
      </c>
      <c r="X100" s="20" t="inlineStr">
        <is>
          <t>Objek + bayangan path terpisah; bayangan membesar dan berubah.</t>
        </is>
      </c>
      <c r="Y100" s="20" t="inlineStr"/>
      <c r="Z100" s="20">
        <f>IF(OR(E100="Bisa",E100="Berat"),1,0)</f>
        <v/>
      </c>
      <c r="AA100" s="20">
        <f>IF(Z100=1,J100-ROW()/100000,"")</f>
        <v/>
      </c>
      <c r="AB100" s="20">
        <f>B100&amp;"|"&amp;K100</f>
        <v/>
      </c>
    </row>
    <row r="101" ht="78" customHeight="1">
      <c r="A101" s="9" t="inlineStr">
        <is>
          <t>GB44</t>
        </is>
      </c>
      <c r="B101" s="5" t="inlineStr">
        <is>
          <t>Grafis &amp; bentuk</t>
        </is>
      </c>
      <c r="C101" s="11" t="inlineStr">
        <is>
          <t>Gunung es (irisan)</t>
        </is>
      </c>
      <c r="D101" s="5" t="inlineStr">
        <is>
          <t>Gunung es: puncak kecil di atas air, badan raksasa di bawah.</t>
        </is>
      </c>
      <c r="E101" s="28" t="inlineStr">
        <is>
          <t>Bisa</t>
        </is>
      </c>
      <c r="F101" s="9" t="inlineStr"/>
      <c r="G101" s="9" t="n">
        <v>2</v>
      </c>
      <c r="H101" s="9" t="n">
        <v>8</v>
      </c>
      <c r="I101" s="9" t="n">
        <v>9</v>
      </c>
      <c r="J101" s="26">
        <f>IF(E101="Tidak cocok","",ROUND(H101*W_GAYA_WOW+I101*W_GAYA_MEREK+(11-2*G101)*W_GAYA_MUDAH,1))</f>
        <v/>
      </c>
      <c r="K101" s="9">
        <f>IF(Z101=1,COUNTIFS($B$2:$B$254,B101,$AA$2:$AA$254,"&gt;"&amp;AA101)+1,"—")</f>
        <v/>
      </c>
      <c r="L101" s="9" t="n">
        <v>2</v>
      </c>
      <c r="M101" s="11" t="inlineStr">
        <is>
          <t>Yang di Bawah Permukaan</t>
        </is>
      </c>
      <c r="N101" s="9" t="inlineStr">
        <is>
          <t>Logika dipatahkan</t>
        </is>
      </c>
      <c r="O101" s="5" t="inlineStr">
        <is>
          <t>“Yang terlihat: satu formulir pendaftaran.”</t>
        </is>
      </c>
      <c r="P101" s="5" t="inlineStr">
        <is>
          <t>Puncak = formulir → turun: sistem, salinan, pihak ketiga, arsip lama → Data Discovery memetakan → CTA</t>
        </is>
      </c>
      <c r="Q101" s="24" t="n">
        <v>0.2</v>
      </c>
      <c r="R101" s="27">
        <f>IF(Q101="","",1-Q101)</f>
        <v/>
      </c>
      <c r="S101" s="5">
        <f>IF(Q101="","—",TEXT(1-Q101,"0%")&amp;" edukasi · "&amp;TEXT(Q101,"0%")&amp;" meme")</f>
        <v/>
      </c>
      <c r="T101" s="5" t="inlineStr">
        <is>
          <t>Data Discovery</t>
        </is>
      </c>
      <c r="U101" s="5" t="inlineStr">
        <is>
          <t>—</t>
        </is>
      </c>
      <c r="V101" s="9" t="inlineStr">
        <is>
          <t>20 dtk</t>
        </is>
      </c>
      <c r="W101" s="5" t="inlineStr">
        <is>
          <t>M15</t>
        </is>
      </c>
      <c r="X101" s="5" t="inlineStr">
        <is>
          <t>Poligon es + garis air bergelombang; kamera turun ke bawah permukaan.</t>
        </is>
      </c>
      <c r="Y101" s="5" t="inlineStr"/>
      <c r="Z101" s="5">
        <f>IF(OR(E101="Bisa",E101="Berat"),1,0)</f>
        <v/>
      </c>
      <c r="AA101" s="5">
        <f>IF(Z101=1,J101-ROW()/100000,"")</f>
        <v/>
      </c>
      <c r="AB101" s="5">
        <f>B101&amp;"|"&amp;K101</f>
        <v/>
      </c>
    </row>
    <row r="102" ht="78" customHeight="1">
      <c r="A102" s="19" t="inlineStr">
        <is>
          <t>GB45</t>
        </is>
      </c>
      <c r="B102" s="20" t="inlineStr">
        <is>
          <t>Grafis &amp; bentuk</t>
        </is>
      </c>
      <c r="C102" s="21" t="inlineStr">
        <is>
          <t>Lapisan terurai (exploded view)</t>
        </is>
      </c>
      <c r="D102" s="20" t="inlineStr">
        <is>
          <t>Satu benda terangkat menjadi lapisan-lapisan yang melayang.</t>
        </is>
      </c>
      <c r="E102" s="22" t="inlineStr">
        <is>
          <t>Sudah</t>
        </is>
      </c>
      <c r="F102" s="19" t="inlineStr">
        <is>
          <t>GB45</t>
        </is>
      </c>
      <c r="G102" s="19" t="n">
        <v>3</v>
      </c>
      <c r="H102" s="19" t="n">
        <v>8</v>
      </c>
      <c r="I102" s="19" t="n">
        <v>9</v>
      </c>
      <c r="J102" s="23">
        <f>IF(E102="Tidak cocok","",ROUND(H102*W_GAYA_WOW+I102*W_GAYA_MEREK+(11-2*G102)*W_GAYA_MUDAH,1))</f>
        <v/>
      </c>
      <c r="K102" s="19">
        <f>IF(Z102=1,COUNTIFS($B$2:$B$254,B102,$AA$2:$AA$254,"&gt;"&amp;AA102)+1,"—")</f>
        <v/>
      </c>
      <c r="L102" s="19" t="n">
        <v>2</v>
      </c>
      <c r="M102" s="21" t="inlineStr">
        <is>
          <t>Tiga Lapis</t>
        </is>
      </c>
      <c r="N102" s="19" t="inlineStr">
        <is>
          <t>Anomali</t>
        </is>
      </c>
      <c r="O102" s="20" t="inlineStr">
        <is>
          <t>“Skor ini ternyata punya tiga lapis.”</t>
        </is>
      </c>
      <c r="P102" s="20" t="inlineStr">
        <is>
          <t>Skor postur 56 → terurai: lapis data, proses, respons → lapis terlemah disorot → CTA</t>
        </is>
      </c>
      <c r="Q102" s="24" t="n">
        <v>0.2</v>
      </c>
      <c r="R102" s="25">
        <f>IF(Q102="","",1-Q102)</f>
        <v/>
      </c>
      <c r="S102" s="20">
        <f>IF(Q102="","—",TEXT(1-Q102,"0%")&amp;" edukasi · "&amp;TEXT(Q102,"0%")&amp;" meme")</f>
        <v/>
      </c>
      <c r="T102" s="20" t="inlineStr">
        <is>
          <t>Postur Privasi</t>
        </is>
      </c>
      <c r="U102" s="20" t="inlineStr">
        <is>
          <t>postur-privasi</t>
        </is>
      </c>
      <c r="V102" s="19" t="inlineStr">
        <is>
          <t>15 dtk</t>
        </is>
      </c>
      <c r="W102" s="20" t="inlineStr">
        <is>
          <t>M01 (varian)</t>
        </is>
      </c>
      <c r="X102" s="20" t="inlineStr">
        <is>
          <t>Panel CSS 3D bertumpuk; jarak antarlapis dianimasikan; label tiap lapis.</t>
        </is>
      </c>
      <c r="Y102" s="20" t="inlineStr">
        <is>
          <t>Angka dari data demo di screenshot.</t>
        </is>
      </c>
      <c r="Z102" s="20">
        <f>IF(OR(E102="Bisa",E102="Berat"),1,0)</f>
        <v/>
      </c>
      <c r="AA102" s="20">
        <f>IF(Z102=1,J102-ROW()/100000,"")</f>
        <v/>
      </c>
      <c r="AB102" s="20">
        <f>B102&amp;"|"&amp;K102</f>
        <v/>
      </c>
    </row>
    <row r="103" ht="78" customHeight="1">
      <c r="A103" s="9" t="inlineStr">
        <is>
          <t>GB46</t>
        </is>
      </c>
      <c r="B103" s="5" t="inlineStr">
        <is>
          <t>Grafis &amp; bentuk</t>
        </is>
      </c>
      <c r="C103" s="11" t="inlineStr">
        <is>
          <t>Orbit</t>
        </is>
      </c>
      <c r="D103" s="5" t="inlineStr">
        <is>
          <t>Ikon modul mengorbit satu pusat.</t>
        </is>
      </c>
      <c r="E103" s="28" t="inlineStr">
        <is>
          <t>Bisa</t>
        </is>
      </c>
      <c r="F103" s="9" t="inlineStr"/>
      <c r="G103" s="9" t="n">
        <v>2</v>
      </c>
      <c r="H103" s="9" t="n">
        <v>6</v>
      </c>
      <c r="I103" s="9" t="n">
        <v>8</v>
      </c>
      <c r="J103" s="26">
        <f>IF(E103="Tidak cocok","",ROUND(H103*W_GAYA_WOW+I103*W_GAYA_MEREK+(11-2*G103)*W_GAYA_MUDAH,1))</f>
        <v/>
      </c>
      <c r="K103" s="9">
        <f>IF(Z103=1,COUNTIFS($B$2:$B$254,B103,$AA$2:$AA$254,"&gt;"&amp;AA103)+1,"—")</f>
        <v/>
      </c>
      <c r="L103" s="9" t="n">
        <v>2</v>
      </c>
      <c r="M103" s="11" t="inlineStr">
        <is>
          <t>Satu Pusat</t>
        </is>
      </c>
      <c r="N103" s="9" t="inlineStr">
        <is>
          <t>Anomali</t>
        </is>
      </c>
      <c r="O103" s="5" t="inlineStr">
        <is>
          <t>“Semua modul berputar di satu pusat.”</t>
        </is>
      </c>
      <c r="P103" s="5" t="inlineStr">
        <is>
          <t>Modul melayang acak → tertarik ke orbit → pusat: Nexus → CTA</t>
        </is>
      </c>
      <c r="Q103" s="24" t="n">
        <v>0.3</v>
      </c>
      <c r="R103" s="27">
        <f>IF(Q103="","",1-Q103)</f>
        <v/>
      </c>
      <c r="S103" s="5">
        <f>IF(Q103="","—",TEXT(1-Q103,"0%")&amp;" edukasi · "&amp;TEXT(Q103,"0%")&amp;" meme")</f>
        <v/>
      </c>
      <c r="T103" s="5" t="inlineStr">
        <is>
          <t>Platform</t>
        </is>
      </c>
      <c r="U103" s="5" t="inlineStr">
        <is>
          <t>—</t>
        </is>
      </c>
      <c r="V103" s="9" t="inlineStr">
        <is>
          <t>10 dtk</t>
        </is>
      </c>
      <c r="W103" s="5" t="inlineStr">
        <is>
          <t>Baru (bumper)</t>
        </is>
      </c>
      <c r="X103" s="5" t="inlineStr">
        <is>
          <t>Rotasi orbit elips dengan kecepatan berbeda; garis orbit tipis.</t>
        </is>
      </c>
      <c r="Y103" s="5" t="inlineStr"/>
      <c r="Z103" s="5">
        <f>IF(OR(E103="Bisa",E103="Berat"),1,0)</f>
        <v/>
      </c>
      <c r="AA103" s="5">
        <f>IF(Z103=1,J103-ROW()/100000,"")</f>
        <v/>
      </c>
      <c r="AB103" s="5">
        <f>B103&amp;"|"&amp;K103</f>
        <v/>
      </c>
    </row>
    <row r="104" ht="78" customHeight="1">
      <c r="A104" s="19" t="inlineStr">
        <is>
          <t>GB47</t>
        </is>
      </c>
      <c r="B104" s="20" t="inlineStr">
        <is>
          <t>Grafis &amp; bentuk</t>
        </is>
      </c>
      <c r="C104" s="21" t="inlineStr">
        <is>
          <t>Tumbuh (tanaman)</t>
        </is>
      </c>
      <c r="D104" s="20" t="inlineStr">
        <is>
          <t>Tunas tumbuh menjadi pohon; tiap cabang satu capaian.</t>
        </is>
      </c>
      <c r="E104" s="28" t="inlineStr">
        <is>
          <t>Bisa</t>
        </is>
      </c>
      <c r="F104" s="19" t="inlineStr"/>
      <c r="G104" s="19" t="n">
        <v>3</v>
      </c>
      <c r="H104" s="19" t="n">
        <v>7</v>
      </c>
      <c r="I104" s="19" t="n">
        <v>8</v>
      </c>
      <c r="J104" s="23">
        <f>IF(E104="Tidak cocok","",ROUND(H104*W_GAYA_WOW+I104*W_GAYA_MEREK+(11-2*G104)*W_GAYA_MUDAH,1))</f>
        <v/>
      </c>
      <c r="K104" s="19">
        <f>IF(Z104=1,COUNTIFS($B$2:$B$254,B104,$AA$2:$AA$254,"&gt;"&amp;AA104)+1,"—")</f>
        <v/>
      </c>
      <c r="L104" s="19" t="n">
        <v>2</v>
      </c>
      <c r="M104" s="21" t="inlineStr">
        <is>
          <t>Tidak Tumbuh Semalam</t>
        </is>
      </c>
      <c r="N104" s="19" t="inlineStr">
        <is>
          <t>Logika dipatahkan</t>
        </is>
      </c>
      <c r="O104" s="20" t="inlineStr">
        <is>
          <t>“Kepatuhan tidak tumbuh dalam semalam. Tapi bisa diukur tiap musim.”</t>
        </is>
      </c>
      <c r="P104" s="20" t="inlineStr">
        <is>
          <t>Tunas → cabang per domain → tingkat kematangan naik → CTA</t>
        </is>
      </c>
      <c r="Q104" s="24" t="n">
        <v>0.3</v>
      </c>
      <c r="R104" s="25">
        <f>IF(Q104="","",1-Q104)</f>
        <v/>
      </c>
      <c r="S104" s="20">
        <f>IF(Q104="","—",TEXT(1-Q104,"0%")&amp;" edukasi · "&amp;TEXT(Q104,"0%")&amp;" meme")</f>
        <v/>
      </c>
      <c r="T104" s="20" t="inlineStr">
        <is>
          <t>Maturity Assessment</t>
        </is>
      </c>
      <c r="U104" s="20" t="inlineStr">
        <is>
          <t>—</t>
        </is>
      </c>
      <c r="V104" s="19" t="inlineStr">
        <is>
          <t>15 dtk</t>
        </is>
      </c>
      <c r="W104" s="20" t="inlineStr">
        <is>
          <t>M03 (varian)</t>
        </is>
      </c>
      <c r="X104" s="20" t="inlineStr">
        <is>
          <t>Path cabang digambar bertahap; daun muncul (skala).</t>
        </is>
      </c>
      <c r="Y104" s="20" t="inlineStr"/>
      <c r="Z104" s="20">
        <f>IF(OR(E104="Bisa",E104="Berat"),1,0)</f>
        <v/>
      </c>
      <c r="AA104" s="20">
        <f>IF(Z104=1,J104-ROW()/100000,"")</f>
        <v/>
      </c>
      <c r="AB104" s="20">
        <f>B104&amp;"|"&amp;K104</f>
        <v/>
      </c>
    </row>
    <row r="105" ht="78" customHeight="1">
      <c r="A105" s="9" t="inlineStr">
        <is>
          <t>GB48</t>
        </is>
      </c>
      <c r="B105" s="5" t="inlineStr">
        <is>
          <t>Grafis &amp; bentuk</t>
        </is>
      </c>
      <c r="C105" s="11" t="inlineStr">
        <is>
          <t>Denah kantor</t>
        </is>
      </c>
      <c r="D105" s="5" t="inlineStr">
        <is>
          <t>Denah kantor garis putih; titik penyimpanan data menyala.</t>
        </is>
      </c>
      <c r="E105" s="28" t="inlineStr">
        <is>
          <t>Bisa</t>
        </is>
      </c>
      <c r="F105" s="9" t="inlineStr"/>
      <c r="G105" s="9" t="n">
        <v>2</v>
      </c>
      <c r="H105" s="9" t="n">
        <v>7</v>
      </c>
      <c r="I105" s="9" t="n">
        <v>8</v>
      </c>
      <c r="J105" s="26">
        <f>IF(E105="Tidak cocok","",ROUND(H105*W_GAYA_WOW+I105*W_GAYA_MEREK+(11-2*G105)*W_GAYA_MUDAH,1))</f>
        <v/>
      </c>
      <c r="K105" s="9">
        <f>IF(Z105=1,COUNTIFS($B$2:$B$254,B105,$AA$2:$AA$254,"&gt;"&amp;AA105)+1,"—")</f>
        <v/>
      </c>
      <c r="L105" s="9" t="n">
        <v>2</v>
      </c>
      <c r="M105" s="11" t="inlineStr">
        <is>
          <t>Denah Kantor</t>
        </is>
      </c>
      <c r="N105" s="9" t="inlineStr">
        <is>
          <t>Anomali</t>
        </is>
      </c>
      <c r="O105" s="5" t="inlineStr">
        <is>
          <t>“Di denah kantor ini ada 9 tempat penyimpanan data. Kamu tahu berapa?”</t>
        </is>
      </c>
      <c r="P105" s="5" t="inlineStr">
        <is>
          <t>Pin menyala: lemari, laptop, server, email, pihak ketiga → katalog sistem &amp; sumber data → CTA</t>
        </is>
      </c>
      <c r="Q105" s="24" t="n">
        <v>0.3</v>
      </c>
      <c r="R105" s="27">
        <f>IF(Q105="","",1-Q105)</f>
        <v/>
      </c>
      <c r="S105" s="5">
        <f>IF(Q105="","—",TEXT(1-Q105,"0%")&amp;" edukasi · "&amp;TEXT(Q105,"0%")&amp;" meme")</f>
        <v/>
      </c>
      <c r="T105" s="5" t="inlineStr">
        <is>
          <t>Data Discovery (katalog sistem)</t>
        </is>
      </c>
      <c r="U105" s="5" t="inlineStr">
        <is>
          <t>—</t>
        </is>
      </c>
      <c r="V105" s="9" t="inlineStr">
        <is>
          <t>15 dtk</t>
        </is>
      </c>
      <c r="W105" s="5" t="inlineStr">
        <is>
          <t>Baru</t>
        </is>
      </c>
      <c r="X105" s="5" t="inlineStr">
        <is>
          <t>Path denah digambar; pin muncul berurutan; penghitung.</t>
        </is>
      </c>
      <c r="Y105" s="5" t="inlineStr">
        <is>
          <t>Angka 9 = ilustrasi.</t>
        </is>
      </c>
      <c r="Z105" s="5">
        <f>IF(OR(E105="Bisa",E105="Berat"),1,0)</f>
        <v/>
      </c>
      <c r="AA105" s="5">
        <f>IF(Z105=1,J105-ROW()/100000,"")</f>
        <v/>
      </c>
      <c r="AB105" s="5">
        <f>B105&amp;"|"&amp;K105</f>
        <v/>
      </c>
    </row>
    <row r="106" ht="78" customHeight="1">
      <c r="A106" s="19" t="inlineStr">
        <is>
          <t>GB49</t>
        </is>
      </c>
      <c r="B106" s="20" t="inlineStr">
        <is>
          <t>Grafis &amp; bentuk</t>
        </is>
      </c>
      <c r="C106" s="21" t="inlineStr">
        <is>
          <t>Stiker die-cut</t>
        </is>
      </c>
      <c r="D106" s="20" t="inlineStr">
        <is>
          <t>Stiker bergaris tepi putih ditempel satu-satu, saling tumpuk.</t>
        </is>
      </c>
      <c r="E106" s="22" t="inlineStr">
        <is>
          <t>Sudah</t>
        </is>
      </c>
      <c r="F106" s="19" t="inlineStr">
        <is>
          <t>GB49</t>
        </is>
      </c>
      <c r="G106" s="19" t="n">
        <v>2</v>
      </c>
      <c r="H106" s="19" t="n">
        <v>7</v>
      </c>
      <c r="I106" s="19" t="n">
        <v>6</v>
      </c>
      <c r="J106" s="23">
        <f>IF(E106="Tidak cocok","",ROUND(H106*W_GAYA_WOW+I106*W_GAYA_MEREK+(11-2*G106)*W_GAYA_MUDAH,1))</f>
        <v/>
      </c>
      <c r="K106" s="19">
        <f>IF(Z106=1,COUNTIFS($B$2:$B$254,B106,$AA$2:$AA$254,"&gt;"&amp;AA106)+1,"—")</f>
        <v/>
      </c>
      <c r="L106" s="19" t="n">
        <v>2</v>
      </c>
      <c r="M106" s="21" t="inlineStr">
        <is>
          <t>DPO Starter Pack</t>
        </is>
      </c>
      <c r="N106" s="19" t="inlineStr">
        <is>
          <t>Relate</t>
        </is>
      </c>
      <c r="O106" s="20" t="inlineStr">
        <is>
          <t>“DPO starter pack.”</t>
        </is>
      </c>
      <c r="P106" s="20" t="inlineStr">
        <is>
          <t>Stiker: kopi, 47 tab, file final_final, grup chat → stiker terakhir: Nexus → CTA</t>
        </is>
      </c>
      <c r="Q106" s="24" t="n">
        <v>0.7</v>
      </c>
      <c r="R106" s="25">
        <f>IF(Q106="","",1-Q106)</f>
        <v/>
      </c>
      <c r="S106" s="20">
        <f>IF(Q106="","—",TEXT(1-Q106,"0%")&amp;" edukasi · "&amp;TEXT(Q106,"0%")&amp;" meme")</f>
        <v/>
      </c>
      <c r="T106" s="20" t="inlineStr">
        <is>
          <t>Brand</t>
        </is>
      </c>
      <c r="U106" s="20" t="inlineStr">
        <is>
          <t>—</t>
        </is>
      </c>
      <c r="V106" s="19" t="inlineStr">
        <is>
          <t>10 dtk</t>
        </is>
      </c>
      <c r="W106" s="20" t="inlineStr">
        <is>
          <t>A13</t>
        </is>
      </c>
      <c r="X106" s="20" t="inlineStr">
        <is>
          <t>Elemen dengan outline putih tebal + bayangan; masuk dengan efek tempel.</t>
        </is>
      </c>
      <c r="Y106" s="20" t="inlineStr"/>
      <c r="Z106" s="20">
        <f>IF(OR(E106="Bisa",E106="Berat"),1,0)</f>
        <v/>
      </c>
      <c r="AA106" s="20">
        <f>IF(Z106=1,J106-ROW()/100000,"")</f>
        <v/>
      </c>
      <c r="AB106" s="20">
        <f>B106&amp;"|"&amp;K106</f>
        <v/>
      </c>
    </row>
    <row r="107" ht="78" customHeight="1">
      <c r="A107" s="9" t="inlineStr">
        <is>
          <t>GB50</t>
        </is>
      </c>
      <c r="B107" s="5" t="inlineStr">
        <is>
          <t>Grafis &amp; bentuk</t>
        </is>
      </c>
      <c r="C107" s="11" t="inlineStr">
        <is>
          <t>Cut-out organik</t>
        </is>
      </c>
      <c r="D107" s="5" t="inlineStr">
        <is>
          <t>Potongan kertas berbentuk bebas berwarna cerah, bertumpuk.</t>
        </is>
      </c>
      <c r="E107" s="28" t="inlineStr">
        <is>
          <t>Bisa</t>
        </is>
      </c>
      <c r="F107" s="9" t="inlineStr"/>
      <c r="G107" s="9" t="n">
        <v>2</v>
      </c>
      <c r="H107" s="9" t="n">
        <v>7</v>
      </c>
      <c r="I107" s="9" t="n">
        <v>8</v>
      </c>
      <c r="J107" s="26">
        <f>IF(E107="Tidak cocok","",ROUND(H107*W_GAYA_WOW+I107*W_GAYA_MEREK+(11-2*G107)*W_GAYA_MUDAH,1))</f>
        <v/>
      </c>
      <c r="K107" s="9">
        <f>IF(Z107=1,COUNTIFS($B$2:$B$254,B107,$AA$2:$AA$254,"&gt;"&amp;AA107)+1,"—")</f>
        <v/>
      </c>
      <c r="L107" s="9" t="n">
        <v>2</v>
      </c>
      <c r="M107" s="11" t="inlineStr">
        <is>
          <t>Kinda Chic</t>
        </is>
      </c>
      <c r="N107" s="9" t="inlineStr">
        <is>
          <t>Logika dipatahkan</t>
        </is>
      </c>
      <c r="O107" s="5" t="inlineStr">
        <is>
          <t>“Kinda chic to… lapor insiden tepat waktu.”</t>
        </is>
      </c>
      <c r="P107" s="5" t="inlineStr">
        <is>
          <t>Tiga kartu “kinda chic” dengan bentuk potongan kertas → layar asli → CTA</t>
        </is>
      </c>
      <c r="Q107" s="24" t="n">
        <v>0.3</v>
      </c>
      <c r="R107" s="27">
        <f>IF(Q107="","",1-Q107)</f>
        <v/>
      </c>
      <c r="S107" s="5">
        <f>IF(Q107="","—",TEXT(1-Q107,"0%")&amp;" edukasi · "&amp;TEXT(Q107,"0%")&amp;" meme")</f>
        <v/>
      </c>
      <c r="T107" s="5" t="inlineStr">
        <is>
          <t>Insiden, RoPA</t>
        </is>
      </c>
      <c r="U107" s="5" t="inlineStr">
        <is>
          <t>dashboard</t>
        </is>
      </c>
      <c r="V107" s="9" t="inlineStr">
        <is>
          <t>15 dtk</t>
        </is>
      </c>
      <c r="W107" s="5" t="inlineStr">
        <is>
          <t>A07</t>
        </is>
      </c>
      <c r="X107" s="5" t="inlineStr">
        <is>
          <t>Path organik; bayangan tipis; gerak melayang.</t>
        </is>
      </c>
      <c r="Y107" s="5" t="inlineStr"/>
      <c r="Z107" s="5">
        <f>IF(OR(E107="Bisa",E107="Berat"),1,0)</f>
        <v/>
      </c>
      <c r="AA107" s="5">
        <f>IF(Z107=1,J107-ROW()/100000,"")</f>
        <v/>
      </c>
      <c r="AB107" s="5">
        <f>B107&amp;"|"&amp;K107</f>
        <v/>
      </c>
    </row>
    <row r="108" ht="78" customHeight="1">
      <c r="A108" s="19" t="inlineStr">
        <is>
          <t>GB51</t>
        </is>
      </c>
      <c r="B108" s="20" t="inlineStr">
        <is>
          <t>Grafis &amp; bentuk</t>
        </is>
      </c>
      <c r="C108" s="21" t="inlineStr">
        <is>
          <t>Jam pasir</t>
        </is>
      </c>
      <c r="D108" s="20" t="inlineStr">
        <is>
          <t>Jam pasir; butir jatuh, tumpukan bawah membesar.</t>
        </is>
      </c>
      <c r="E108" s="28" t="inlineStr">
        <is>
          <t>Bisa</t>
        </is>
      </c>
      <c r="F108" s="19" t="inlineStr"/>
      <c r="G108" s="19" t="n">
        <v>3</v>
      </c>
      <c r="H108" s="19" t="n">
        <v>7</v>
      </c>
      <c r="I108" s="19" t="n">
        <v>8</v>
      </c>
      <c r="J108" s="23">
        <f>IF(E108="Tidak cocok","",ROUND(H108*W_GAYA_WOW+I108*W_GAYA_MEREK+(11-2*G108)*W_GAYA_MUDAH,1))</f>
        <v/>
      </c>
      <c r="K108" s="19">
        <f>IF(Z108=1,COUNTIFS($B$2:$B$254,B108,$AA$2:$AA$254,"&gt;"&amp;AA108)+1,"—")</f>
        <v/>
      </c>
      <c r="L108" s="19" t="n">
        <v>2</v>
      </c>
      <c r="M108" s="21" t="inlineStr">
        <is>
          <t>72 Jam</t>
        </is>
      </c>
      <c r="N108" s="19" t="inlineStr">
        <is>
          <t>Relate</t>
        </is>
      </c>
      <c r="O108" s="20" t="inlineStr">
        <is>
          <t>“Email paling ditakuti customer service: ‘Tolong hapus semua data saya.’”</t>
        </is>
      </c>
      <c r="P108" s="20" t="inlineStr">
        <is>
          <t>Jam pasir dibalik saat email masuk → alur handler–reviewer–approver → selesai sebelum habis → CTA</t>
        </is>
      </c>
      <c r="Q108" s="24" t="n">
        <v>0.3</v>
      </c>
      <c r="R108" s="25">
        <f>IF(Q108="","",1-Q108)</f>
        <v/>
      </c>
      <c r="S108" s="20">
        <f>IF(Q108="","—",TEXT(1-Q108,"0%")&amp;" edukasi · "&amp;TEXT(Q108,"0%")&amp;" meme")</f>
        <v/>
      </c>
      <c r="T108" s="20" t="inlineStr">
        <is>
          <t>DSR</t>
        </is>
      </c>
      <c r="U108" s="20" t="inlineStr">
        <is>
          <t>dsr-form, dsr-detail</t>
        </is>
      </c>
      <c r="V108" s="19" t="inlineStr">
        <is>
          <t>15 dtk</t>
        </is>
      </c>
      <c r="W108" s="20" t="inlineStr">
        <is>
          <t>M07 / P23</t>
        </is>
      </c>
      <c r="X108" s="20" t="inlineStr">
        <is>
          <t>Butir canvas dengan lintasan rumus; tinggi tumpukan dari waktu.</t>
        </is>
      </c>
      <c r="Y108" s="20" t="inlineStr"/>
      <c r="Z108" s="20">
        <f>IF(OR(E108="Bisa",E108="Berat"),1,0)</f>
        <v/>
      </c>
      <c r="AA108" s="20">
        <f>IF(Z108=1,J108-ROW()/100000,"")</f>
        <v/>
      </c>
      <c r="AB108" s="20">
        <f>B108&amp;"|"&amp;K108</f>
        <v/>
      </c>
    </row>
    <row r="109" ht="78" customHeight="1">
      <c r="A109" s="9" t="inlineStr">
        <is>
          <t>GB52</t>
        </is>
      </c>
      <c r="B109" s="5" t="inlineStr">
        <is>
          <t>Grafis &amp; bentuk</t>
        </is>
      </c>
      <c r="C109" s="11" t="inlineStr">
        <is>
          <t>Rantai</t>
        </is>
      </c>
      <c r="D109" s="5" t="inlineStr">
        <is>
          <t>Mata rantai tersambung; satu mata retak.</t>
        </is>
      </c>
      <c r="E109" s="28" t="inlineStr">
        <is>
          <t>Bisa</t>
        </is>
      </c>
      <c r="F109" s="9" t="inlineStr"/>
      <c r="G109" s="9" t="n">
        <v>2</v>
      </c>
      <c r="H109" s="9" t="n">
        <v>6</v>
      </c>
      <c r="I109" s="9" t="n">
        <v>8</v>
      </c>
      <c r="J109" s="26">
        <f>IF(E109="Tidak cocok","",ROUND(H109*W_GAYA_WOW+I109*W_GAYA_MEREK+(11-2*G109)*W_GAYA_MUDAH,1))</f>
        <v/>
      </c>
      <c r="K109" s="9">
        <f>IF(Z109=1,COUNTIFS($B$2:$B$254,B109,$AA$2:$AA$254,"&gt;"&amp;AA109)+1,"—")</f>
        <v/>
      </c>
      <c r="L109" s="9" t="n">
        <v>2</v>
      </c>
      <c r="M109" s="11" t="inlineStr">
        <is>
          <t>Mata Rantai Terlemah</t>
        </is>
      </c>
      <c r="N109" s="9" t="inlineStr">
        <is>
          <t>Anomali</t>
        </is>
      </c>
      <c r="O109" s="5" t="inlineStr">
        <is>
          <t>“Keamanan datamu sekuat pihak ketigamu yang paling lemah.”</t>
        </is>
      </c>
      <c r="P109" s="5" t="inlineStr">
        <is>
          <t>Rantai ditarik → satu mata retak berlabel pihak ketiga → kuesioner asesmen lewat tautan → skor → CTA</t>
        </is>
      </c>
      <c r="Q109" s="24" t="n">
        <v>0.3</v>
      </c>
      <c r="R109" s="27">
        <f>IF(Q109="","",1-Q109)</f>
        <v/>
      </c>
      <c r="S109" s="5">
        <f>IF(Q109="","—",TEXT(1-Q109,"0%")&amp;" edukasi · "&amp;TEXT(Q109,"0%")&amp;" meme")</f>
        <v/>
      </c>
      <c r="T109" s="5" t="inlineStr">
        <is>
          <t>Manajemen Risiko Pihak Ketiga</t>
        </is>
      </c>
      <c r="U109" s="5" t="inlineStr">
        <is>
          <t>—</t>
        </is>
      </c>
      <c r="V109" s="9" t="inlineStr">
        <is>
          <t>15 dtk</t>
        </is>
      </c>
      <c r="W109" s="5" t="inlineStr">
        <is>
          <t>M13 / A15</t>
        </is>
      </c>
      <c r="X109" s="5" t="inlineStr">
        <is>
          <t>Mata rantai SVG berulang; retakan digambar; sorot.</t>
        </is>
      </c>
      <c r="Y109" s="5" t="inlineStr"/>
      <c r="Z109" s="5">
        <f>IF(OR(E109="Bisa",E109="Berat"),1,0)</f>
        <v/>
      </c>
      <c r="AA109" s="5">
        <f>IF(Z109=1,J109-ROW()/100000,"")</f>
        <v/>
      </c>
      <c r="AB109" s="5">
        <f>B109&amp;"|"&amp;K109</f>
        <v/>
      </c>
    </row>
    <row r="110" ht="78" customHeight="1">
      <c r="A110" s="19" t="inlineStr">
        <is>
          <t>GB53</t>
        </is>
      </c>
      <c r="B110" s="20" t="inlineStr">
        <is>
          <t>Grafis &amp; bentuk</t>
        </is>
      </c>
      <c r="C110" s="21" t="inlineStr">
        <is>
          <t>Peta jalur (transit map)</t>
        </is>
      </c>
      <c r="D110" s="20" t="inlineStr">
        <is>
          <t>Peta jalur kereta: garis warna-warni, stasiun bulat, titik transit.</t>
        </is>
      </c>
      <c r="E110" s="28" t="inlineStr">
        <is>
          <t>Bisa</t>
        </is>
      </c>
      <c r="F110" s="19" t="inlineStr"/>
      <c r="G110" s="19" t="n">
        <v>3</v>
      </c>
      <c r="H110" s="19" t="n">
        <v>9</v>
      </c>
      <c r="I110" s="19" t="n">
        <v>9</v>
      </c>
      <c r="J110" s="23">
        <f>IF(E110="Tidak cocok","",ROUND(H110*W_GAYA_WOW+I110*W_GAYA_MEREK+(11-2*G110)*W_GAYA_MUDAH,1))</f>
        <v/>
      </c>
      <c r="K110" s="19">
        <f>IF(Z110=1,COUNTIFS($B$2:$B$254,B110,$AA$2:$AA$254,"&gt;"&amp;AA110)+1,"—")</f>
        <v/>
      </c>
      <c r="L110" s="19" t="n">
        <v>2</v>
      </c>
      <c r="M110" s="21" t="inlineStr">
        <is>
          <t>Peta Jalur Kepatuhan</t>
        </is>
      </c>
      <c r="N110" s="19" t="inlineStr">
        <is>
          <t>Anomali</t>
        </is>
      </c>
      <c r="O110" s="20" t="inlineStr">
        <is>
          <t>“Naik dari stasiun mana pun. Tujuannya sama: siap diperiksa.”</t>
        </is>
      </c>
      <c r="P110" s="20" t="inlineStr">
        <is>
          <t>Jalur GAP → RoPA → DPIA → Consent/DSR/Insiden → Fire Drill; titik transit = modul terhubung → CTA</t>
        </is>
      </c>
      <c r="Q110" s="24" t="n">
        <v>0.2</v>
      </c>
      <c r="R110" s="25">
        <f>IF(Q110="","",1-Q110)</f>
        <v/>
      </c>
      <c r="S110" s="20">
        <f>IF(Q110="","—",TEXT(1-Q110,"0%")&amp;" edukasi · "&amp;TEXT(Q110,"0%")&amp;" meme")</f>
        <v/>
      </c>
      <c r="T110" s="20" t="inlineStr">
        <is>
          <t>Platform (siklus modul)</t>
        </is>
      </c>
      <c r="U110" s="20" t="inlineStr">
        <is>
          <t>—</t>
        </is>
      </c>
      <c r="V110" s="19" t="inlineStr">
        <is>
          <t>20 dtk</t>
        </is>
      </c>
      <c r="W110" s="20" t="inlineStr">
        <is>
          <t>Baru</t>
        </is>
      </c>
      <c r="X110" s="20" t="inlineStr">
        <is>
          <t>Path ortogonal/45°; stasiun lingkaran; kereta titik berjalan di jalur.</t>
        </is>
      </c>
      <c r="Y110" s="20" t="inlineStr">
        <is>
          <t>Desain peta sendiri; tanpa lambang operator kereta.</t>
        </is>
      </c>
      <c r="Z110" s="20">
        <f>IF(OR(E110="Bisa",E110="Berat"),1,0)</f>
        <v/>
      </c>
      <c r="AA110" s="20">
        <f>IF(Z110=1,J110-ROW()/100000,"")</f>
        <v/>
      </c>
      <c r="AB110" s="20">
        <f>B110&amp;"|"&amp;K110</f>
        <v/>
      </c>
    </row>
    <row r="111" ht="78" customHeight="1">
      <c r="A111" s="9" t="inlineStr">
        <is>
          <t>GB54</t>
        </is>
      </c>
      <c r="B111" s="5" t="inlineStr">
        <is>
          <t>Grafis &amp; bentuk</t>
        </is>
      </c>
      <c r="C111" s="11" t="inlineStr">
        <is>
          <t>Papan sirkuit</t>
        </is>
      </c>
      <c r="D111" s="5" t="inlineStr">
        <is>
          <t>Jalur tembaga papan sirkuit; sinyal cahaya mengalir.</t>
        </is>
      </c>
      <c r="E111" s="28" t="inlineStr">
        <is>
          <t>Bisa</t>
        </is>
      </c>
      <c r="F111" s="9" t="inlineStr"/>
      <c r="G111" s="9" t="n">
        <v>2</v>
      </c>
      <c r="H111" s="9" t="n">
        <v>7</v>
      </c>
      <c r="I111" s="9" t="n">
        <v>8</v>
      </c>
      <c r="J111" s="26">
        <f>IF(E111="Tidak cocok","",ROUND(H111*W_GAYA_WOW+I111*W_GAYA_MEREK+(11-2*G111)*W_GAYA_MUDAH,1))</f>
        <v/>
      </c>
      <c r="K111" s="9">
        <f>IF(Z111=1,COUNTIFS($B$2:$B$254,B111,$AA$2:$AA$254,"&gt;"&amp;AA111)+1,"—")</f>
        <v/>
      </c>
      <c r="L111" s="9" t="n">
        <v>2</v>
      </c>
      <c r="M111" s="11" t="inlineStr">
        <is>
          <t>Tersambung</t>
        </is>
      </c>
      <c r="N111" s="9" t="inlineStr">
        <is>
          <t>Anomali</t>
        </is>
      </c>
      <c r="O111" s="5" t="inlineStr">
        <is>
          <t>“Persetujuan ditarik di aplikasi. Sistem lain tahu?”</t>
        </is>
      </c>
      <c r="P111" s="5" t="inlineStr">
        <is>
          <t>Sinyal “tarik persetujuan” mengalir lewat API &amp; webhook ke sistem internal → semua kanal menghormati → CTA</t>
        </is>
      </c>
      <c r="Q111" s="24" t="n">
        <v>0.3</v>
      </c>
      <c r="R111" s="27">
        <f>IF(Q111="","",1-Q111)</f>
        <v/>
      </c>
      <c r="S111" s="5">
        <f>IF(Q111="","—",TEXT(1-Q111,"0%")&amp;" edukasi · "&amp;TEXT(Q111,"0%")&amp;" meme")</f>
        <v/>
      </c>
      <c r="T111" s="5" t="inlineStr">
        <is>
          <t>Consent (API &amp; webhook)</t>
        </is>
      </c>
      <c r="U111" s="5" t="inlineStr">
        <is>
          <t>consent-detail</t>
        </is>
      </c>
      <c r="V111" s="9" t="inlineStr">
        <is>
          <t>15 dtk</t>
        </is>
      </c>
      <c r="W111" s="5" t="inlineStr">
        <is>
          <t>Flow unggulan (Bab 1)</t>
        </is>
      </c>
      <c r="X111" s="5" t="inlineStr">
        <is>
          <t>Path ortogonal + titik solder; kepala cahaya berjalan (dash).</t>
        </is>
      </c>
      <c r="Y111" s="5" t="inlineStr"/>
      <c r="Z111" s="5">
        <f>IF(OR(E111="Bisa",E111="Berat"),1,0)</f>
        <v/>
      </c>
      <c r="AA111" s="5">
        <f>IF(Z111=1,J111-ROW()/100000,"")</f>
        <v/>
      </c>
      <c r="AB111" s="5">
        <f>B111&amp;"|"&amp;K111</f>
        <v/>
      </c>
    </row>
    <row r="112" ht="78" customHeight="1">
      <c r="A112" s="19" t="inlineStr">
        <is>
          <t>CR01</t>
        </is>
      </c>
      <c r="B112" s="20" t="inlineStr">
        <is>
          <t>Craft (buatan tangan)</t>
        </is>
      </c>
      <c r="C112" s="21" t="inlineStr">
        <is>
          <t>Stop motion papan gabus</t>
        </is>
      </c>
      <c r="D112" s="20" t="inlineStr">
        <is>
          <t>Kertas, sticky note, dan stempel di papan gabus; gerak patah-patah.</t>
        </is>
      </c>
      <c r="E112" s="22" t="inlineStr">
        <is>
          <t>Sudah</t>
        </is>
      </c>
      <c r="F112" s="19" t="inlineStr">
        <is>
          <t>T03</t>
        </is>
      </c>
      <c r="G112" s="19" t="n">
        <v>4</v>
      </c>
      <c r="H112" s="19" t="n">
        <v>9</v>
      </c>
      <c r="I112" s="19" t="n">
        <v>7</v>
      </c>
      <c r="J112" s="23">
        <f>IF(E112="Tidak cocok","",ROUND(H112*W_GAYA_WOW+I112*W_GAYA_MEREK+(11-2*G112)*W_GAYA_MUDAH,1))</f>
        <v/>
      </c>
      <c r="K112" s="19">
        <f>IF(Z112=1,COUNTIFS($B$2:$B$254,B112,$AA$2:$AA$254,"&gt;"&amp;AA112)+1,"—")</f>
        <v/>
      </c>
      <c r="L112" s="19" t="n">
        <v>3</v>
      </c>
      <c r="M112" s="21" t="inlineStr">
        <is>
          <t>Rating Kebiasaan Data di Kantor</t>
        </is>
      </c>
      <c r="N112" s="19" t="inlineStr">
        <is>
          <t>Relate</t>
        </is>
      </c>
      <c r="O112" s="20" t="inlineStr">
        <is>
          <t>“Rating kebiasaan data di kantor. Jujur, ya.”</t>
        </is>
      </c>
      <c r="P112" s="20" t="inlineStr">
        <is>
          <t>Nilai 1/10 … 0/10 → papan disapu → kartu Nexus 10/10 → CTA</t>
        </is>
      </c>
      <c r="Q112" s="24" t="n">
        <v>0.7</v>
      </c>
      <c r="R112" s="25">
        <f>IF(Q112="","",1-Q112)</f>
        <v/>
      </c>
      <c r="S112" s="20">
        <f>IF(Q112="","—",TEXT(1-Q112,"0%")&amp;" edukasi · "&amp;TEXT(Q112,"0%")&amp;" meme")</f>
        <v/>
      </c>
      <c r="T112" s="20" t="inlineStr">
        <is>
          <t>RoPA, DSR, Insiden</t>
        </is>
      </c>
      <c r="U112" s="20" t="inlineStr">
        <is>
          <t>—</t>
        </is>
      </c>
      <c r="V112" s="19" t="inlineStr">
        <is>
          <t>51,4 dtk</t>
        </is>
      </c>
      <c r="W112" s="20" t="inlineStr">
        <is>
          <t>T03 (sudah dirender)</t>
        </is>
      </c>
      <c r="X112" s="20" t="inlineStr">
        <is>
          <t>Waktu dikuantisasi 12 fps; getar kecil per langkah; tekstur dari hash.</t>
        </is>
      </c>
      <c r="Y112" s="20" t="inlineStr"/>
      <c r="Z112" s="20">
        <f>IF(OR(E112="Bisa",E112="Berat"),1,0)</f>
        <v/>
      </c>
      <c r="AA112" s="20">
        <f>IF(Z112=1,J112-ROW()/100000,"")</f>
        <v/>
      </c>
      <c r="AB112" s="20">
        <f>B112&amp;"|"&amp;K112</f>
        <v/>
      </c>
    </row>
    <row r="113" ht="78" customHeight="1">
      <c r="A113" s="9" t="inlineStr">
        <is>
          <t>CR02</t>
        </is>
      </c>
      <c r="B113" s="5" t="inlineStr">
        <is>
          <t>Craft (buatan tangan)</t>
        </is>
      </c>
      <c r="C113" s="11" t="inlineStr">
        <is>
          <t>Paper-craft (guntingan kertas berlapis)</t>
        </is>
      </c>
      <c r="D113" s="5" t="inlineStr">
        <is>
          <t>Bentuk dari kertas warna berlapis dengan bayangan lembut, coretan krayon.</t>
        </is>
      </c>
      <c r="E113" s="22" t="inlineStr">
        <is>
          <t>Sudah</t>
        </is>
      </c>
      <c r="F113" s="9" t="inlineStr">
        <is>
          <t>N06</t>
        </is>
      </c>
      <c r="G113" s="9" t="n">
        <v>3</v>
      </c>
      <c r="H113" s="9" t="n">
        <v>8</v>
      </c>
      <c r="I113" s="9" t="n">
        <v>8</v>
      </c>
      <c r="J113" s="26">
        <f>IF(E113="Tidak cocok","",ROUND(H113*W_GAYA_WOW+I113*W_GAYA_MEREK+(11-2*G113)*W_GAYA_MUDAH,1))</f>
        <v/>
      </c>
      <c r="K113" s="9">
        <f>IF(Z113=1,COUNTIFS($B$2:$B$254,B113,$AA$2:$AA$254,"&gt;"&amp;AA113)+1,"—")</f>
        <v/>
      </c>
      <c r="L113" s="9" t="n">
        <v>3</v>
      </c>
      <c r="M113" s="11" t="inlineStr">
        <is>
          <t>Data Anak &amp; Inklusif</t>
        </is>
      </c>
      <c r="N113" s="9" t="inlineStr">
        <is>
          <t>Anomali</t>
        </is>
      </c>
      <c r="O113" s="5" t="inlineStr">
        <is>
          <t>Pengguna termuda juga butuh izin walinya.</t>
        </is>
      </c>
      <c r="P113" s="5" t="inlineStr">
        <is>
          <t>Anak daftar sendiri → izin wali → Children Pro &amp; Inclusive Privacy → CTA</t>
        </is>
      </c>
      <c r="Q113" s="24" t="n">
        <v>0.3</v>
      </c>
      <c r="R113" s="27">
        <f>IF(Q113="","",1-Q113)</f>
        <v/>
      </c>
      <c r="S113" s="5">
        <f>IF(Q113="","—",TEXT(1-Q113,"0%")&amp;" edukasi · "&amp;TEXT(Q113,"0%")&amp;" meme")</f>
        <v/>
      </c>
      <c r="T113" s="5" t="inlineStr">
        <is>
          <t>Children Pro, Inclusive Privacy</t>
        </is>
      </c>
      <c r="U113" s="5" t="inlineStr">
        <is>
          <t>children-pro, inclusive-privacy</t>
        </is>
      </c>
      <c r="V113" s="9" t="inlineStr">
        <is>
          <t>45,6 dtk</t>
        </is>
      </c>
      <c r="W113" s="5" t="inlineStr">
        <is>
          <t>N06 (sudah dirender)</t>
        </is>
      </c>
      <c r="X113" s="5" t="inlineStr">
        <is>
          <t>Lapisan div dengan bayangan; goyang kecil; tekstur kertas.</t>
        </is>
      </c>
      <c r="Y113" s="5" t="inlineStr"/>
      <c r="Z113" s="5">
        <f>IF(OR(E113="Bisa",E113="Berat"),1,0)</f>
        <v/>
      </c>
      <c r="AA113" s="5">
        <f>IF(Z113=1,J113-ROW()/100000,"")</f>
        <v/>
      </c>
      <c r="AB113" s="5">
        <f>B113&amp;"|"&amp;K113</f>
        <v/>
      </c>
    </row>
    <row r="114" ht="78" customHeight="1">
      <c r="A114" s="19" t="inlineStr">
        <is>
          <t>CR03</t>
        </is>
      </c>
      <c r="B114" s="20" t="inlineStr">
        <is>
          <t>Craft (buatan tangan)</t>
        </is>
      </c>
      <c r="C114" s="21" t="inlineStr">
        <is>
          <t>Kolase / mixed media</t>
        </is>
      </c>
      <c r="D114" s="20" t="inlineStr">
        <is>
          <t>Potongan layar, kertas sobek, selotip, dan coretan spidol ditumpuk.</t>
        </is>
      </c>
      <c r="E114" s="28" t="inlineStr">
        <is>
          <t>Bisa</t>
        </is>
      </c>
      <c r="F114" s="19" t="inlineStr"/>
      <c r="G114" s="19" t="n">
        <v>3</v>
      </c>
      <c r="H114" s="19" t="n">
        <v>8</v>
      </c>
      <c r="I114" s="19" t="n">
        <v>7</v>
      </c>
      <c r="J114" s="23">
        <f>IF(E114="Tidak cocok","",ROUND(H114*W_GAYA_WOW+I114*W_GAYA_MEREK+(11-2*G114)*W_GAYA_MUDAH,1))</f>
        <v/>
      </c>
      <c r="K114" s="19">
        <f>IF(Z114=1,COUNTIFS($B$2:$B$254,B114,$AA$2:$AA$254,"&gt;"&amp;AA114)+1,"—")</f>
        <v/>
      </c>
      <c r="L114" s="19" t="n">
        <v>3</v>
      </c>
      <c r="M114" s="21" t="inlineStr">
        <is>
          <t>2016 vs 2026</t>
        </is>
      </c>
      <c r="N114" s="19" t="inlineStr">
        <is>
          <t>Relate</t>
        </is>
      </c>
      <c r="O114" s="20" t="inlineStr">
        <is>
          <t>“2016: data pelanggan disimpan di flashdisk.”</t>
        </is>
      </c>
      <c r="P114" s="20" t="inlineStr">
        <is>
          <t>Kolase 2016 (flashdisk, kertas tempel) → disobek → kolase 2026: register, log audit, tenggat otomatis → CTA</t>
        </is>
      </c>
      <c r="Q114" s="24" t="n">
        <v>0.5</v>
      </c>
      <c r="R114" s="25">
        <f>IF(Q114="","",1-Q114)</f>
        <v/>
      </c>
      <c r="S114" s="20">
        <f>IF(Q114="","—",TEXT(1-Q114,"0%")&amp;" edukasi · "&amp;TEXT(Q114,"0%")&amp;" meme")</f>
        <v/>
      </c>
      <c r="T114" s="20" t="inlineStr">
        <is>
          <t>Platform</t>
        </is>
      </c>
      <c r="U114" s="20" t="inlineStr">
        <is>
          <t>dashboard, ropa-list-baru</t>
        </is>
      </c>
      <c r="V114" s="19" t="inlineStr">
        <is>
          <t>20 dtk</t>
        </is>
      </c>
      <c r="W114" s="20" t="inlineStr">
        <is>
          <t>A17</t>
        </is>
      </c>
      <c r="X114" s="20" t="inlineStr">
        <is>
          <t>Elemen dengan tepi sobek (clip-path), selotip transparan, rotasi acak dari hash.</t>
        </is>
      </c>
      <c r="Y114" s="20" t="inlineStr"/>
      <c r="Z114" s="20">
        <f>IF(OR(E114="Bisa",E114="Berat"),1,0)</f>
        <v/>
      </c>
      <c r="AA114" s="20">
        <f>IF(Z114=1,J114-ROW()/100000,"")</f>
        <v/>
      </c>
      <c r="AB114" s="20">
        <f>B114&amp;"|"&amp;K114</f>
        <v/>
      </c>
    </row>
    <row r="115" ht="78" customHeight="1">
      <c r="A115" s="9" t="inlineStr">
        <is>
          <t>CR04</t>
        </is>
      </c>
      <c r="B115" s="5" t="inlineStr">
        <is>
          <t>Craft (buatan tangan)</t>
        </is>
      </c>
      <c r="C115" s="11" t="inlineStr">
        <is>
          <t>Whiteboard (spidol papan putih)</t>
        </is>
      </c>
      <c r="D115" s="5" t="inlineStr">
        <is>
          <t>Tangan tak terlihat menggambar diagram dengan spidol sambil menjelaskan.</t>
        </is>
      </c>
      <c r="E115" s="28" t="inlineStr">
        <is>
          <t>Bisa</t>
        </is>
      </c>
      <c r="F115" s="9" t="inlineStr"/>
      <c r="G115" s="9" t="n">
        <v>2</v>
      </c>
      <c r="H115" s="9" t="n">
        <v>6</v>
      </c>
      <c r="I115" s="9" t="n">
        <v>8</v>
      </c>
      <c r="J115" s="26">
        <f>IF(E115="Tidak cocok","",ROUND(H115*W_GAYA_WOW+I115*W_GAYA_MEREK+(11-2*G115)*W_GAYA_MUDAH,1))</f>
        <v/>
      </c>
      <c r="K115" s="9">
        <f>IF(Z115=1,COUNTIFS($B$2:$B$254,B115,$AA$2:$AA$254,"&gt;"&amp;AA115)+1,"—")</f>
        <v/>
      </c>
      <c r="L115" s="9" t="n">
        <v>3</v>
      </c>
      <c r="M115" s="11" t="inlineStr">
        <is>
          <t>Jelaskan dalam 20 Detik</t>
        </is>
      </c>
      <c r="N115" s="9" t="inlineStr">
        <is>
          <t>Relate</t>
        </is>
      </c>
      <c r="O115" s="5" t="inlineStr">
        <is>
          <t>“Jelaskan UU PDP ke direksi dalam 20 detik. Mulai.”</t>
        </is>
      </c>
      <c r="P115" s="5" t="inlineStr">
        <is>
          <t>Timer → tiga kotak: catat, nilai, tanggapi → panah ke modul → CTA</t>
        </is>
      </c>
      <c r="Q115" s="24" t="n">
        <v>0.3</v>
      </c>
      <c r="R115" s="27">
        <f>IF(Q115="","",1-Q115)</f>
        <v/>
      </c>
      <c r="S115" s="5">
        <f>IF(Q115="","—",TEXT(1-Q115,"0%")&amp;" edukasi · "&amp;TEXT(Q115,"0%")&amp;" meme")</f>
        <v/>
      </c>
      <c r="T115" s="5" t="inlineStr">
        <is>
          <t>Platform</t>
        </is>
      </c>
      <c r="U115" s="5" t="inlineStr">
        <is>
          <t>—</t>
        </is>
      </c>
      <c r="V115" s="9" t="inlineStr">
        <is>
          <t>20 dtk</t>
        </is>
      </c>
      <c r="W115" s="5" t="inlineStr">
        <is>
          <t>Baru</t>
        </is>
      </c>
      <c r="X115" s="5" t="inlineStr">
        <is>
          <t>Goresan digambar (stroke) dengan ujung spidol; penghapus menyapu.</t>
        </is>
      </c>
      <c r="Y115" s="5" t="inlineStr"/>
      <c r="Z115" s="5">
        <f>IF(OR(E115="Bisa",E115="Berat"),1,0)</f>
        <v/>
      </c>
      <c r="AA115" s="5">
        <f>IF(Z115=1,J115-ROW()/100000,"")</f>
        <v/>
      </c>
      <c r="AB115" s="5">
        <f>B115&amp;"|"&amp;K115</f>
        <v/>
      </c>
    </row>
    <row r="116" ht="78" customHeight="1">
      <c r="A116" s="19" t="inlineStr">
        <is>
          <t>CR05</t>
        </is>
      </c>
      <c r="B116" s="20" t="inlineStr">
        <is>
          <t>Craft (buatan tangan)</t>
        </is>
      </c>
      <c r="C116" s="21" t="inlineStr">
        <is>
          <t>Papan tulis kapur</t>
        </is>
      </c>
      <c r="D116" s="20" t="inlineStr">
        <is>
          <t>Tulisan dan gambar kapur di papan hijau tua, ada debu kapur.</t>
        </is>
      </c>
      <c r="E116" s="28" t="inlineStr">
        <is>
          <t>Bisa</t>
        </is>
      </c>
      <c r="F116" s="19" t="inlineStr"/>
      <c r="G116" s="19" t="n">
        <v>2</v>
      </c>
      <c r="H116" s="19" t="n">
        <v>7</v>
      </c>
      <c r="I116" s="19" t="n">
        <v>8</v>
      </c>
      <c r="J116" s="23">
        <f>IF(E116="Tidak cocok","",ROUND(H116*W_GAYA_WOW+I116*W_GAYA_MEREK+(11-2*G116)*W_GAYA_MUDAH,1))</f>
        <v/>
      </c>
      <c r="K116" s="19">
        <f>IF(Z116=1,COUNTIFS($B$2:$B$254,B116,$AA$2:$AA$254,"&gt;"&amp;AA116)+1,"—")</f>
        <v/>
      </c>
      <c r="L116" s="19" t="n">
        <v>3</v>
      </c>
      <c r="M116" s="21" t="inlineStr">
        <is>
          <t>Kelas Pertama</t>
        </is>
      </c>
      <c r="N116" s="19" t="inlineStr">
        <is>
          <t>Reverse psychology</t>
        </is>
      </c>
      <c r="O116" s="20" t="inlineStr">
        <is>
          <t>“Jangan ambil kelas ini… kalau kamu sudah hafal 76 pasal UU PDP.”</t>
        </is>
      </c>
      <c r="P116" s="20" t="inlineStr">
        <is>
          <t>Judul kelas ditulis kapur → daftar materi → kartu kursus DPO Academy asli → CTA</t>
        </is>
      </c>
      <c r="Q116" s="24" t="n">
        <v>0.3</v>
      </c>
      <c r="R116" s="25">
        <f>IF(Q116="","",1-Q116)</f>
        <v/>
      </c>
      <c r="S116" s="20">
        <f>IF(Q116="","—",TEXT(1-Q116,"0%")&amp;" edukasi · "&amp;TEXT(Q116,"0%")&amp;" meme")</f>
        <v/>
      </c>
      <c r="T116" s="20" t="inlineStr">
        <is>
          <t>DPO Academy</t>
        </is>
      </c>
      <c r="U116" s="20" t="inlineStr">
        <is>
          <t>dpo-academy</t>
        </is>
      </c>
      <c r="V116" s="19" t="inlineStr">
        <is>
          <t>15 dtk</t>
        </is>
      </c>
      <c r="W116" s="20" t="inlineStr">
        <is>
          <t>M22</t>
        </is>
      </c>
      <c r="X116" s="20" t="inlineStr">
        <is>
          <t>Font kapur + tekstur bintik; hapusan meninggalkan bekas.</t>
        </is>
      </c>
      <c r="Y116" s="20" t="inlineStr"/>
      <c r="Z116" s="20">
        <f>IF(OR(E116="Bisa",E116="Berat"),1,0)</f>
        <v/>
      </c>
      <c r="AA116" s="20">
        <f>IF(Z116=1,J116-ROW()/100000,"")</f>
        <v/>
      </c>
      <c r="AB116" s="20">
        <f>B116&amp;"|"&amp;K116</f>
        <v/>
      </c>
    </row>
    <row r="117" ht="78" customHeight="1">
      <c r="A117" s="9" t="inlineStr">
        <is>
          <t>CR06</t>
        </is>
      </c>
      <c r="B117" s="5" t="inlineStr">
        <is>
          <t>Craft (buatan tangan)</t>
        </is>
      </c>
      <c r="C117" s="11" t="inlineStr">
        <is>
          <t>Bullet journal / planner</t>
        </is>
      </c>
      <c r="D117" s="5" t="inlineStr">
        <is>
          <t>Halaman agenda bertitik dengan tulisan tangan, stiker, dan kotak centang.</t>
        </is>
      </c>
      <c r="E117" s="28" t="inlineStr">
        <is>
          <t>Bisa</t>
        </is>
      </c>
      <c r="F117" s="9" t="inlineStr"/>
      <c r="G117" s="9" t="n">
        <v>2</v>
      </c>
      <c r="H117" s="9" t="n">
        <v>7</v>
      </c>
      <c r="I117" s="9" t="n">
        <v>7</v>
      </c>
      <c r="J117" s="26">
        <f>IF(E117="Tidak cocok","",ROUND(H117*W_GAYA_WOW+I117*W_GAYA_MEREK+(11-2*G117)*W_GAYA_MUDAH,1))</f>
        <v/>
      </c>
      <c r="K117" s="9">
        <f>IF(Z117=1,COUNTIFS($B$2:$B$254,B117,$AA$2:$AA$254,"&gt;"&amp;AA117)+1,"—")</f>
        <v/>
      </c>
      <c r="L117" s="9" t="n">
        <v>3</v>
      </c>
      <c r="M117" s="11" t="inlineStr">
        <is>
          <t>Agenda DPO Minggu Ini</t>
        </is>
      </c>
      <c r="N117" s="9" t="inlineStr">
        <is>
          <t>Relate</t>
        </is>
      </c>
      <c r="O117" s="5" t="inlineStr">
        <is>
          <t>“Agenda DPO minggu ini. Ditulis Senin, berantakan Selasa.”</t>
        </is>
      </c>
      <c r="P117" s="5" t="inlineStr">
        <is>
          <t>Agenda rapi → tugas mendadak menimpa → antrean kerja Nexus mengurutkan → CTA</t>
        </is>
      </c>
      <c r="Q117" s="24" t="n">
        <v>0.5</v>
      </c>
      <c r="R117" s="27">
        <f>IF(Q117="","",1-Q117)</f>
        <v/>
      </c>
      <c r="S117" s="5">
        <f>IF(Q117="","—",TEXT(1-Q117,"0%")&amp;" edukasi · "&amp;TEXT(Q117,"0%")&amp;" meme")</f>
        <v/>
      </c>
      <c r="T117" s="5" t="inlineStr">
        <is>
          <t>Dukungan PPDP (antrean kerja)</t>
        </is>
      </c>
      <c r="U117" s="5" t="inlineStr">
        <is>
          <t>dashboard</t>
        </is>
      </c>
      <c r="V117" s="9" t="inlineStr">
        <is>
          <t>15 dtk</t>
        </is>
      </c>
      <c r="W117" s="5" t="inlineStr">
        <is>
          <t>A21 (varian)</t>
        </is>
      </c>
      <c r="X117" s="5" t="inlineStr">
        <is>
          <t>Kisi titik; tulisan tangan write-on; centang digambar; selotip hias.</t>
        </is>
      </c>
      <c r="Y117" s="5" t="inlineStr"/>
      <c r="Z117" s="5">
        <f>IF(OR(E117="Bisa",E117="Berat"),1,0)</f>
        <v/>
      </c>
      <c r="AA117" s="5">
        <f>IF(Z117=1,J117-ROW()/100000,"")</f>
        <v/>
      </c>
      <c r="AB117" s="5">
        <f>B117&amp;"|"&amp;K117</f>
        <v/>
      </c>
    </row>
    <row r="118" ht="78" customHeight="1">
      <c r="A118" s="19" t="inlineStr">
        <is>
          <t>CR07</t>
        </is>
      </c>
      <c r="B118" s="20" t="inlineStr">
        <is>
          <t>Craft (buatan tangan)</t>
        </is>
      </c>
      <c r="C118" s="21" t="inlineStr">
        <is>
          <t>Sketsa pensil</t>
        </is>
      </c>
      <c r="D118" s="20" t="inlineStr">
        <is>
          <t>Garis pensil tipis, arsiran, dan garis bantu yang belum dihapus.</t>
        </is>
      </c>
      <c r="E118" s="28" t="inlineStr">
        <is>
          <t>Bisa</t>
        </is>
      </c>
      <c r="F118" s="19" t="inlineStr"/>
      <c r="G118" s="19" t="n">
        <v>3</v>
      </c>
      <c r="H118" s="19" t="n">
        <v>7</v>
      </c>
      <c r="I118" s="19" t="n">
        <v>8</v>
      </c>
      <c r="J118" s="23">
        <f>IF(E118="Tidak cocok","",ROUND(H118*W_GAYA_WOW+I118*W_GAYA_MEREK+(11-2*G118)*W_GAYA_MUDAH,1))</f>
        <v/>
      </c>
      <c r="K118" s="19">
        <f>IF(Z118=1,COUNTIFS($B$2:$B$254,B118,$AA$2:$AA$254,"&gt;"&amp;AA118)+1,"—")</f>
        <v/>
      </c>
      <c r="L118" s="19" t="n">
        <v>3</v>
      </c>
      <c r="M118" s="21" t="inlineStr">
        <is>
          <t>Sketsa Pertama</t>
        </is>
      </c>
      <c r="N118" s="19" t="inlineStr">
        <is>
          <t>Anomali</t>
        </is>
      </c>
      <c r="O118" s="20" t="inlineStr">
        <is>
          <t>“Semua yang rapi dimulai dari sketsa kasar.”</t>
        </is>
      </c>
      <c r="P118" s="20" t="inlineStr">
        <is>
          <t>Sketsa alur data digambar → ditebalkan jadi langkah wizard RoPA → CTA</t>
        </is>
      </c>
      <c r="Q118" s="24" t="n">
        <v>0.3</v>
      </c>
      <c r="R118" s="25">
        <f>IF(Q118="","",1-Q118)</f>
        <v/>
      </c>
      <c r="S118" s="20">
        <f>IF(Q118="","—",TEXT(1-Q118,"0%")&amp;" edukasi · "&amp;TEXT(Q118,"0%")&amp;" meme")</f>
        <v/>
      </c>
      <c r="T118" s="20" t="inlineStr">
        <is>
          <t>RoPA (wizard)</t>
        </is>
      </c>
      <c r="U118" s="20" t="inlineStr">
        <is>
          <t>ropa-baru</t>
        </is>
      </c>
      <c r="V118" s="19" t="inlineStr">
        <is>
          <t>15 dtk</t>
        </is>
      </c>
      <c r="W118" s="20" t="inlineStr">
        <is>
          <t>Baru</t>
        </is>
      </c>
      <c r="X118" s="20" t="inlineStr">
        <is>
          <t>Stroke abu-abu dengan filter kasar; arsir dari garis sejajar.</t>
        </is>
      </c>
      <c r="Y118" s="20" t="inlineStr"/>
      <c r="Z118" s="20">
        <f>IF(OR(E118="Bisa",E118="Berat"),1,0)</f>
        <v/>
      </c>
      <c r="AA118" s="20">
        <f>IF(Z118=1,J118-ROW()/100000,"")</f>
        <v/>
      </c>
      <c r="AB118" s="20">
        <f>B118&amp;"|"&amp;K118</f>
        <v/>
      </c>
    </row>
    <row r="119" ht="78" customHeight="1">
      <c r="A119" s="9" t="inlineStr">
        <is>
          <t>CR08</t>
        </is>
      </c>
      <c r="B119" s="5" t="inlineStr">
        <is>
          <t>Craft (buatan tangan)</t>
        </is>
      </c>
      <c r="C119" s="11" t="inlineStr">
        <is>
          <t>Cat air / tinta menyebar</t>
        </is>
      </c>
      <c r="D119" s="5" t="inlineStr">
        <is>
          <t>Warna merembes di kertas basah, tepi tidak rata.</t>
        </is>
      </c>
      <c r="E119" s="34" t="inlineStr">
        <is>
          <t>Berat</t>
        </is>
      </c>
      <c r="F119" s="9" t="inlineStr"/>
      <c r="G119" s="9" t="n">
        <v>4</v>
      </c>
      <c r="H119" s="9" t="n">
        <v>8</v>
      </c>
      <c r="I119" s="9" t="n">
        <v>7</v>
      </c>
      <c r="J119" s="26">
        <f>IF(E119="Tidak cocok","",ROUND(H119*W_GAYA_WOW+I119*W_GAYA_MEREK+(11-2*G119)*W_GAYA_MUDAH,1))</f>
        <v/>
      </c>
      <c r="K119" s="9">
        <f>IF(Z119=1,COUNTIFS($B$2:$B$254,B119,$AA$2:$AA$254,"&gt;"&amp;AA119)+1,"—")</f>
        <v/>
      </c>
      <c r="L119" s="9" t="n">
        <v>3</v>
      </c>
      <c r="M119" s="11" t="inlineStr">
        <is>
          <t>Merembes</t>
        </is>
      </c>
      <c r="N119" s="9" t="inlineStr">
        <is>
          <t>Anomali</t>
        </is>
      </c>
      <c r="O119" s="5" t="inlineStr">
        <is>
          <t>“Data merembes seperti tinta di kertas basah.”</t>
        </is>
      </c>
      <c r="P119" s="5" t="inlineStr">
        <is>
          <t>Satu tetes tinta = satu salinan data → merembes ke mana-mana → Data Discovery memetakan → CTA</t>
        </is>
      </c>
      <c r="Q119" s="24" t="n">
        <v>0.5</v>
      </c>
      <c r="R119" s="27">
        <f>IF(Q119="","",1-Q119)</f>
        <v/>
      </c>
      <c r="S119" s="5">
        <f>IF(Q119="","—",TEXT(1-Q119,"0%")&amp;" edukasi · "&amp;TEXT(Q119,"0%")&amp;" meme")</f>
        <v/>
      </c>
      <c r="T119" s="5" t="inlineStr">
        <is>
          <t>Data Discovery</t>
        </is>
      </c>
      <c r="U119" s="5" t="inlineStr">
        <is>
          <t>—</t>
        </is>
      </c>
      <c r="V119" s="9" t="inlineStr">
        <is>
          <t>15 dtk</t>
        </is>
      </c>
      <c r="W119" s="5" t="inlineStr">
        <is>
          <t>Baru</t>
        </is>
      </c>
      <c r="X119" s="5" t="inlineStr">
        <is>
          <t>Bercak radial + feTurbulence displacement; melebar per waktu.</t>
        </is>
      </c>
      <c r="Y119" s="5" t="inlineStr"/>
      <c r="Z119" s="5">
        <f>IF(OR(E119="Bisa",E119="Berat"),1,0)</f>
        <v/>
      </c>
      <c r="AA119" s="5">
        <f>IF(Z119=1,J119-ROW()/100000,"")</f>
        <v/>
      </c>
      <c r="AB119" s="5">
        <f>B119&amp;"|"&amp;K119</f>
        <v/>
      </c>
    </row>
    <row r="120" ht="78" customHeight="1">
      <c r="A120" s="19" t="inlineStr">
        <is>
          <t>CR09</t>
        </is>
      </c>
      <c r="B120" s="20" t="inlineStr">
        <is>
          <t>Craft (buatan tangan)</t>
        </is>
      </c>
      <c r="C120" s="21" t="inlineStr">
        <is>
          <t>Diorama kertas berlapis</t>
        </is>
      </c>
      <c r="D120" s="20" t="inlineStr">
        <is>
          <t>Lapisan kertas bertingkat dengan cahaya dari belakang (kotak lampu).</t>
        </is>
      </c>
      <c r="E120" s="28" t="inlineStr">
        <is>
          <t>Bisa</t>
        </is>
      </c>
      <c r="F120" s="19" t="inlineStr"/>
      <c r="G120" s="19" t="n">
        <v>3</v>
      </c>
      <c r="H120" s="19" t="n">
        <v>8</v>
      </c>
      <c r="I120" s="19" t="n">
        <v>8</v>
      </c>
      <c r="J120" s="23">
        <f>IF(E120="Tidak cocok","",ROUND(H120*W_GAYA_WOW+I120*W_GAYA_MEREK+(11-2*G120)*W_GAYA_MUDAH,1))</f>
        <v/>
      </c>
      <c r="K120" s="19">
        <f>IF(Z120=1,COUNTIFS($B$2:$B$254,B120,$AA$2:$AA$254,"&gt;"&amp;AA120)+1,"—")</f>
        <v/>
      </c>
      <c r="L120" s="19" t="n">
        <v>3</v>
      </c>
      <c r="M120" s="21" t="inlineStr">
        <is>
          <t>Di Balik Formulir</t>
        </is>
      </c>
      <c r="N120" s="19" t="inlineStr">
        <is>
          <t>Anomali</t>
        </is>
      </c>
      <c r="O120" s="20" t="inlineStr">
        <is>
          <t>“Di balik satu formulir, ada enam lapis.”</t>
        </is>
      </c>
      <c r="P120" s="20" t="inlineStr">
        <is>
          <t>Lapisan terbuka satu-satu: formulir → sistem → pihak ketiga → arsip → RoPA mencatat semuanya → CTA</t>
        </is>
      </c>
      <c r="Q120" s="24" t="n">
        <v>0.3</v>
      </c>
      <c r="R120" s="25">
        <f>IF(Q120="","",1-Q120)</f>
        <v/>
      </c>
      <c r="S120" s="20">
        <f>IF(Q120="","—",TEXT(1-Q120,"0%")&amp;" edukasi · "&amp;TEXT(Q120,"0%")&amp;" meme")</f>
        <v/>
      </c>
      <c r="T120" s="20" t="inlineStr">
        <is>
          <t>RoPA</t>
        </is>
      </c>
      <c r="U120" s="20" t="inlineStr">
        <is>
          <t>—</t>
        </is>
      </c>
      <c r="V120" s="19" t="inlineStr">
        <is>
          <t>15 dtk</t>
        </is>
      </c>
      <c r="W120" s="20" t="inlineStr">
        <is>
          <t>Baru</t>
        </is>
      </c>
      <c r="X120" s="20" t="inlineStr">
        <is>
          <t>Lapisan paralaks dengan bayangan dalam; cahaya hangat berdenyut pelan.</t>
        </is>
      </c>
      <c r="Y120" s="20" t="inlineStr">
        <is>
          <t>Jumlah lapis = ilustrasi.</t>
        </is>
      </c>
      <c r="Z120" s="20">
        <f>IF(OR(E120="Bisa",E120="Berat"),1,0)</f>
        <v/>
      </c>
      <c r="AA120" s="20">
        <f>IF(Z120=1,J120-ROW()/100000,"")</f>
        <v/>
      </c>
      <c r="AB120" s="20">
        <f>B120&amp;"|"&amp;K120</f>
        <v/>
      </c>
    </row>
    <row r="121" ht="78" customHeight="1">
      <c r="A121" s="9" t="inlineStr">
        <is>
          <t>CR10</t>
        </is>
      </c>
      <c r="B121" s="5" t="inlineStr">
        <is>
          <t>Craft (buatan tangan)</t>
        </is>
      </c>
      <c r="C121" s="11" t="inlineStr">
        <is>
          <t>Dinding sticky note</t>
        </is>
      </c>
      <c r="D121" s="5" t="inlineStr">
        <is>
          <t>Dinding penuh kertas tempel warna-warni, membentuk gambar dari jauh.</t>
        </is>
      </c>
      <c r="E121" s="28" t="inlineStr">
        <is>
          <t>Bisa</t>
        </is>
      </c>
      <c r="F121" s="9" t="inlineStr"/>
      <c r="G121" s="9" t="n">
        <v>3</v>
      </c>
      <c r="H121" s="9" t="n">
        <v>8</v>
      </c>
      <c r="I121" s="9" t="n">
        <v>7</v>
      </c>
      <c r="J121" s="26">
        <f>IF(E121="Tidak cocok","",ROUND(H121*W_GAYA_WOW+I121*W_GAYA_MEREK+(11-2*G121)*W_GAYA_MUDAH,1))</f>
        <v/>
      </c>
      <c r="K121" s="9">
        <f>IF(Z121=1,COUNTIFS($B$2:$B$254,B121,$AA$2:$AA$254,"&gt;"&amp;AA121)+1,"—")</f>
        <v/>
      </c>
      <c r="L121" s="9" t="n">
        <v>3</v>
      </c>
      <c r="M121" s="11" t="inlineStr">
        <is>
          <t>Dinding Ini Dulu Putih</t>
        </is>
      </c>
      <c r="N121" s="9" t="inlineStr">
        <is>
          <t>Relate</t>
        </is>
      </c>
      <c r="O121" s="5" t="inlineStr">
        <is>
          <t>“Dinding ini dulu putih.”</t>
        </is>
      </c>
      <c r="P121" s="5" t="inlineStr">
        <is>
          <t>Kertas tempel tugas memenuhi dinding → kamera mundur: membentuk tanda tanya → antrean kerja → CTA</t>
        </is>
      </c>
      <c r="Q121" s="24" t="n">
        <v>0.5</v>
      </c>
      <c r="R121" s="27">
        <f>IF(Q121="","",1-Q121)</f>
        <v/>
      </c>
      <c r="S121" s="5">
        <f>IF(Q121="","—",TEXT(1-Q121,"0%")&amp;" edukasi · "&amp;TEXT(Q121,"0%")&amp;" meme")</f>
        <v/>
      </c>
      <c r="T121" s="5" t="inlineStr">
        <is>
          <t>Dukungan PPDP</t>
        </is>
      </c>
      <c r="U121" s="5" t="inlineStr">
        <is>
          <t>—</t>
        </is>
      </c>
      <c r="V121" s="9" t="inlineStr">
        <is>
          <t>15 dtk</t>
        </is>
      </c>
      <c r="W121" s="5" t="inlineStr">
        <is>
          <t>Baru</t>
        </is>
      </c>
      <c r="X121" s="5" t="inlineStr">
        <is>
          <t>Grid kertas tempel; tiap kertas jatuh menempel; dari jauh membentuk ikon.</t>
        </is>
      </c>
      <c r="Y121" s="5" t="inlineStr"/>
      <c r="Z121" s="5">
        <f>IF(OR(E121="Bisa",E121="Berat"),1,0)</f>
        <v/>
      </c>
      <c r="AA121" s="5">
        <f>IF(Z121=1,J121-ROW()/100000,"")</f>
        <v/>
      </c>
      <c r="AB121" s="5">
        <f>B121&amp;"|"&amp;K121</f>
        <v/>
      </c>
    </row>
    <row r="122" ht="78" customHeight="1">
      <c r="A122" s="19" t="inlineStr">
        <is>
          <t>CR11</t>
        </is>
      </c>
      <c r="B122" s="20" t="inlineStr">
        <is>
          <t>Craft (buatan tangan)</t>
        </is>
      </c>
      <c r="C122" s="21" t="inlineStr">
        <is>
          <t>Papan detektif (benang merah)</t>
        </is>
      </c>
      <c r="D122" s="20" t="inlineStr">
        <is>
          <t>Foto, catatan, dan pin dihubungkan benang merah di papan.</t>
        </is>
      </c>
      <c r="E122" s="28" t="inlineStr">
        <is>
          <t>Bisa</t>
        </is>
      </c>
      <c r="F122" s="19" t="inlineStr"/>
      <c r="G122" s="19" t="n">
        <v>3</v>
      </c>
      <c r="H122" s="19" t="n">
        <v>9</v>
      </c>
      <c r="I122" s="19" t="n">
        <v>8</v>
      </c>
      <c r="J122" s="23">
        <f>IF(E122="Tidak cocok","",ROUND(H122*W_GAYA_WOW+I122*W_GAYA_MEREK+(11-2*G122)*W_GAYA_MUDAH,1))</f>
        <v/>
      </c>
      <c r="K122" s="19">
        <f>IF(Z122=1,COUNTIFS($B$2:$B$254,B122,$AA$2:$AA$254,"&gt;"&amp;AA122)+1,"—")</f>
        <v/>
      </c>
      <c r="L122" s="19" t="n">
        <v>3</v>
      </c>
      <c r="M122" s="21" t="inlineStr">
        <is>
          <t>Tarik Benangnya</t>
        </is>
      </c>
      <c r="N122" s="19" t="inlineStr">
        <is>
          <t>Anomali</t>
        </is>
      </c>
      <c r="O122" s="20" t="inlineStr">
        <is>
          <t>“Siapa membuka data apa, dan kapan? Tarik benangnya.”</t>
        </is>
      </c>
      <c r="P122" s="20" t="inlineStr">
        <is>
          <t>Kartu peristiwa dipasang → benang merah menghubungkan → log audit &amp; linimasa insiden → CTA</t>
        </is>
      </c>
      <c r="Q122" s="24" t="n">
        <v>0.3</v>
      </c>
      <c r="R122" s="25">
        <f>IF(Q122="","",1-Q122)</f>
        <v/>
      </c>
      <c r="S122" s="20">
        <f>IF(Q122="","—",TEXT(1-Q122,"0%")&amp;" edukasi · "&amp;TEXT(Q122,"0%")&amp;" meme")</f>
        <v/>
      </c>
      <c r="T122" s="20" t="inlineStr">
        <is>
          <t>Log audit, Insiden (linimasa)</t>
        </is>
      </c>
      <c r="U122" s="20" t="inlineStr">
        <is>
          <t>breach-aksi</t>
        </is>
      </c>
      <c r="V122" s="19" t="inlineStr">
        <is>
          <t>20 dtk</t>
        </is>
      </c>
      <c r="W122" s="20" t="inlineStr">
        <is>
          <t>A42</t>
        </is>
      </c>
      <c r="X122" s="20" t="inlineStr">
        <is>
          <t>Pin + benang path digambar antarpin; kartu catatan miring.</t>
        </is>
      </c>
      <c r="Y122" s="20" t="inlineStr"/>
      <c r="Z122" s="20">
        <f>IF(OR(E122="Bisa",E122="Berat"),1,0)</f>
        <v/>
      </c>
      <c r="AA122" s="20">
        <f>IF(Z122=1,J122-ROW()/100000,"")</f>
        <v/>
      </c>
      <c r="AB122" s="20">
        <f>B122&amp;"|"&amp;K122</f>
        <v/>
      </c>
    </row>
    <row r="123" ht="78" customHeight="1">
      <c r="A123" s="9" t="inlineStr">
        <is>
          <t>CR12</t>
        </is>
      </c>
      <c r="B123" s="5" t="inlineStr">
        <is>
          <t>Craft (buatan tangan)</t>
        </is>
      </c>
      <c r="C123" s="11" t="inlineStr">
        <is>
          <t>Scrapbook / album</t>
        </is>
      </c>
      <c r="D123" s="5" t="inlineStr">
        <is>
          <t>Halaman album dengan kartu bergambar, selotip sudut, dan keterangan tulisan tangan.</t>
        </is>
      </c>
      <c r="E123" s="28" t="inlineStr">
        <is>
          <t>Bisa</t>
        </is>
      </c>
      <c r="F123" s="9" t="inlineStr"/>
      <c r="G123" s="9" t="n">
        <v>2</v>
      </c>
      <c r="H123" s="9" t="n">
        <v>6</v>
      </c>
      <c r="I123" s="9" t="n">
        <v>7</v>
      </c>
      <c r="J123" s="26">
        <f>IF(E123="Tidak cocok","",ROUND(H123*W_GAYA_WOW+I123*W_GAYA_MEREK+(11-2*G123)*W_GAYA_MUDAH,1))</f>
        <v/>
      </c>
      <c r="K123" s="9">
        <f>IF(Z123=1,COUNTIFS($B$2:$B$254,B123,$AA$2:$AA$254,"&gt;"&amp;AA123)+1,"—")</f>
        <v/>
      </c>
      <c r="L123" s="9" t="n">
        <v>3</v>
      </c>
      <c r="M123" s="11" t="inlineStr">
        <is>
          <t>Album Perjalanan Data</t>
        </is>
      </c>
      <c r="N123" s="9" t="inlineStr">
        <is>
          <t>Relate</t>
        </is>
      </c>
      <c r="O123" s="5" t="inlineStr">
        <is>
          <t>“Album perjalanan satu data pelanggan.”</t>
        </is>
      </c>
      <c r="P123" s="5" t="inlineStr">
        <is>
          <t>Halaman 1: mendaftar → 2: dicatat → 3: dinilai → 4: dihapus atas permintaan → CTA</t>
        </is>
      </c>
      <c r="Q123" s="24" t="n">
        <v>0.5</v>
      </c>
      <c r="R123" s="27">
        <f>IF(Q123="","",1-Q123)</f>
        <v/>
      </c>
      <c r="S123" s="5">
        <f>IF(Q123="","—",TEXT(1-Q123,"0%")&amp;" edukasi · "&amp;TEXT(Q123,"0%")&amp;" meme")</f>
        <v/>
      </c>
      <c r="T123" s="5" t="inlineStr">
        <is>
          <t>Platform</t>
        </is>
      </c>
      <c r="U123" s="5" t="inlineStr">
        <is>
          <t>consent-detail, ropa-tersimpan, dsr-detail</t>
        </is>
      </c>
      <c r="V123" s="9" t="inlineStr">
        <is>
          <t>20 dtk</t>
        </is>
      </c>
      <c r="W123" s="5" t="inlineStr">
        <is>
          <t>Flow unggulan (versi 30 dtk)</t>
        </is>
      </c>
      <c r="X123" s="5" t="inlineStr">
        <is>
          <t>Kartu berbingkai putih; selotip sudut; keterangan write-on.</t>
        </is>
      </c>
      <c r="Y123" s="5" t="inlineStr"/>
      <c r="Z123" s="5">
        <f>IF(OR(E123="Bisa",E123="Berat"),1,0)</f>
        <v/>
      </c>
      <c r="AA123" s="5">
        <f>IF(Z123=1,J123-ROW()/100000,"")</f>
        <v/>
      </c>
      <c r="AB123" s="5">
        <f>B123&amp;"|"&amp;K123</f>
        <v/>
      </c>
    </row>
    <row r="124" ht="78" customHeight="1">
      <c r="A124" s="19" t="inlineStr">
        <is>
          <t>CR13</t>
        </is>
      </c>
      <c r="B124" s="20" t="inlineStr">
        <is>
          <t>Craft (buatan tangan)</t>
        </is>
      </c>
      <c r="C124" s="21" t="inlineStr">
        <is>
          <t>Sulam / kristik</t>
        </is>
      </c>
      <c r="D124" s="20" t="inlineStr">
        <is>
          <t>Gambar dan huruf dari tusuk silang benang di kain.</t>
        </is>
      </c>
      <c r="E124" s="28" t="inlineStr">
        <is>
          <t>Bisa</t>
        </is>
      </c>
      <c r="F124" s="19" t="inlineStr"/>
      <c r="G124" s="19" t="n">
        <v>3</v>
      </c>
      <c r="H124" s="19" t="n">
        <v>8</v>
      </c>
      <c r="I124" s="19" t="n">
        <v>7</v>
      </c>
      <c r="J124" s="23">
        <f>IF(E124="Tidak cocok","",ROUND(H124*W_GAYA_WOW+I124*W_GAYA_MEREK+(11-2*G124)*W_GAYA_MUDAH,1))</f>
        <v/>
      </c>
      <c r="K124" s="19">
        <f>IF(Z124=1,COUNTIFS($B$2:$B$254,B124,$AA$2:$AA$254,"&gt;"&amp;AA124)+1,"—")</f>
        <v/>
      </c>
      <c r="L124" s="19" t="n">
        <v>3</v>
      </c>
      <c r="M124" s="21" t="inlineStr">
        <is>
          <t>Satu Tusuk Salah</t>
        </is>
      </c>
      <c r="N124" s="19" t="inlineStr">
        <is>
          <t>Anomali</t>
        </is>
      </c>
      <c r="O124" s="20" t="inlineStr">
        <is>
          <t>“Satu tusuk salah, polanya ikut salah.”</t>
        </is>
      </c>
      <c r="P124" s="20" t="inlineStr">
        <is>
          <t>Pola disulam → satu tusuk keliru merusak gambar → dibongkar → alur Maker–Reviewer–Approver → CTA</t>
        </is>
      </c>
      <c r="Q124" s="24" t="n">
        <v>0.5</v>
      </c>
      <c r="R124" s="25">
        <f>IF(Q124="","",1-Q124)</f>
        <v/>
      </c>
      <c r="S124" s="20">
        <f>IF(Q124="","—",TEXT(1-Q124,"0%")&amp;" edukasi · "&amp;TEXT(Q124,"0%")&amp;" meme")</f>
        <v/>
      </c>
      <c r="T124" s="20" t="inlineStr">
        <is>
          <t>RoPA (alur persetujuan)</t>
        </is>
      </c>
      <c r="U124" s="20" t="inlineStr">
        <is>
          <t>—</t>
        </is>
      </c>
      <c r="V124" s="19" t="inlineStr">
        <is>
          <t>15 dtk</t>
        </is>
      </c>
      <c r="W124" s="20" t="inlineStr">
        <is>
          <t>Baru</t>
        </is>
      </c>
      <c r="X124" s="20" t="inlineStr">
        <is>
          <t>Grid tusuk X muncul berurutan; tekstur kain.</t>
        </is>
      </c>
      <c r="Y124" s="20" t="inlineStr"/>
      <c r="Z124" s="20">
        <f>IF(OR(E124="Bisa",E124="Berat"),1,0)</f>
        <v/>
      </c>
      <c r="AA124" s="20">
        <f>IF(Z124=1,J124-ROW()/100000,"")</f>
        <v/>
      </c>
      <c r="AB124" s="20">
        <f>B124&amp;"|"&amp;K124</f>
        <v/>
      </c>
    </row>
    <row r="125" ht="78" customHeight="1">
      <c r="A125" s="9" t="inlineStr">
        <is>
          <t>CR14</t>
        </is>
      </c>
      <c r="B125" s="5" t="inlineStr">
        <is>
          <t>Craft (buatan tangan)</t>
        </is>
      </c>
      <c r="C125" s="11" t="inlineStr">
        <is>
          <t>Wayang / bayangan di kelir</t>
        </is>
      </c>
      <c r="D125" s="5" t="inlineStr">
        <is>
          <t>Siluet hitam di layar kain bercahaya lampu yang bergoyang.</t>
        </is>
      </c>
      <c r="E125" s="28" t="inlineStr">
        <is>
          <t>Bisa</t>
        </is>
      </c>
      <c r="F125" s="9" t="inlineStr"/>
      <c r="G125" s="9" t="n">
        <v>4</v>
      </c>
      <c r="H125" s="9" t="n">
        <v>9</v>
      </c>
      <c r="I125" s="9" t="n">
        <v>7</v>
      </c>
      <c r="J125" s="26">
        <f>IF(E125="Tidak cocok","",ROUND(H125*W_GAYA_WOW+I125*W_GAYA_MEREK+(11-2*G125)*W_GAYA_MUDAH,1))</f>
        <v/>
      </c>
      <c r="K125" s="9">
        <f>IF(Z125=1,COUNTIFS($B$2:$B$254,B125,$AA$2:$AA$254,"&gt;"&amp;AA125)+1,"—")</f>
        <v/>
      </c>
      <c r="L125" s="9" t="n">
        <v>3</v>
      </c>
      <c r="M125" s="11" t="inlineStr">
        <is>
          <t>Dalang Data</t>
        </is>
      </c>
      <c r="N125" s="9" t="inlineStr">
        <is>
          <t>Anomali</t>
        </is>
      </c>
      <c r="O125" s="5" t="inlineStr">
        <is>
          <t>“Di balik layar selalu ada dalang. Di balik data, harus ada penanggung jawabnya.”</t>
        </is>
      </c>
      <c r="P125" s="5" t="inlineStr">
        <is>
          <t>Bayangan tanpa dalang kacau → dalang muncul: pembagian peran (RACI) → CTA</t>
        </is>
      </c>
      <c r="Q125" s="24" t="n">
        <v>0.5</v>
      </c>
      <c r="R125" s="27">
        <f>IF(Q125="","",1-Q125)</f>
        <v/>
      </c>
      <c r="S125" s="5">
        <f>IF(Q125="","—",TEXT(1-Q125,"0%")&amp;" edukasi · "&amp;TEXT(Q125,"0%")&amp;" meme")</f>
        <v/>
      </c>
      <c r="T125" s="5" t="inlineStr">
        <is>
          <t>Insiden (matriks RACI), Dukungan PPDP</t>
        </is>
      </c>
      <c r="U125" s="5" t="inlineStr">
        <is>
          <t>—</t>
        </is>
      </c>
      <c r="V125" s="9" t="inlineStr">
        <is>
          <t>20 dtk</t>
        </is>
      </c>
      <c r="W125" s="5" t="inlineStr">
        <is>
          <t>Baru (lokal)</t>
        </is>
      </c>
      <c r="X125" s="5" t="inlineStr">
        <is>
          <t>Siluet path; cahaya radial berkedip halus; gerak sendi sederhana.</t>
        </is>
      </c>
      <c r="Y125" s="5" t="inlineStr">
        <is>
          <t>Hormati budaya; jangan pakai tokoh wayang tertentu sebagai olok-olok.</t>
        </is>
      </c>
      <c r="Z125" s="5">
        <f>IF(OR(E125="Bisa",E125="Berat"),1,0)</f>
        <v/>
      </c>
      <c r="AA125" s="5">
        <f>IF(Z125=1,J125-ROW()/100000,"")</f>
        <v/>
      </c>
      <c r="AB125" s="5">
        <f>B125&amp;"|"&amp;K125</f>
        <v/>
      </c>
    </row>
    <row r="126" ht="78" customHeight="1">
      <c r="A126" s="19" t="inlineStr">
        <is>
          <t>CR15</t>
        </is>
      </c>
      <c r="B126" s="20" t="inlineStr">
        <is>
          <t>Craft (buatan tangan)</t>
        </is>
      </c>
      <c r="C126" s="21" t="inlineStr">
        <is>
          <t>Batik canting (malam)</t>
        </is>
      </c>
      <c r="D126" s="20" t="inlineStr">
        <is>
          <t>Garis malam digores canting, lalu warna mengisi.</t>
        </is>
      </c>
      <c r="E126" s="28" t="inlineStr">
        <is>
          <t>Bisa</t>
        </is>
      </c>
      <c r="F126" s="19" t="inlineStr"/>
      <c r="G126" s="19" t="n">
        <v>3</v>
      </c>
      <c r="H126" s="19" t="n">
        <v>8</v>
      </c>
      <c r="I126" s="19" t="n">
        <v>8</v>
      </c>
      <c r="J126" s="23">
        <f>IF(E126="Tidak cocok","",ROUND(H126*W_GAYA_WOW+I126*W_GAYA_MEREK+(11-2*G126)*W_GAYA_MUDAH,1))</f>
        <v/>
      </c>
      <c r="K126" s="19">
        <f>IF(Z126=1,COUNTIFS($B$2:$B$254,B126,$AA$2:$AA$254,"&gt;"&amp;AA126)+1,"—")</f>
        <v/>
      </c>
      <c r="L126" s="19" t="n">
        <v>3</v>
      </c>
      <c r="M126" s="21" t="inlineStr">
        <is>
          <t>Digambar Dulu, Baru Diwarnai</t>
        </is>
      </c>
      <c r="N126" s="19" t="inlineStr">
        <is>
          <t>Logika dipatahkan</t>
        </is>
      </c>
      <c r="O126" s="20" t="inlineStr">
        <is>
          <t>“Batik digambar dulu, baru diwarnai. Proyek data juga: dinilai dulu, baru meluncur.”</t>
        </is>
      </c>
      <c r="P126" s="20" t="inlineStr">
        <is>
          <t>Pola digambar → warna masuk → DPIA sebelum peluncuran → CTA</t>
        </is>
      </c>
      <c r="Q126" s="24" t="n">
        <v>0.3</v>
      </c>
      <c r="R126" s="25">
        <f>IF(Q126="","",1-Q126)</f>
        <v/>
      </c>
      <c r="S126" s="20">
        <f>IF(Q126="","—",TEXT(1-Q126,"0%")&amp;" edukasi · "&amp;TEXT(Q126,"0%")&amp;" meme")</f>
        <v/>
      </c>
      <c r="T126" s="20" t="inlineStr">
        <is>
          <t>DPIA</t>
        </is>
      </c>
      <c r="U126" s="20" t="inlineStr">
        <is>
          <t>dpia-risiko</t>
        </is>
      </c>
      <c r="V126" s="19" t="inlineStr">
        <is>
          <t>15 dtk</t>
        </is>
      </c>
      <c r="W126" s="20" t="inlineStr">
        <is>
          <t>M05 (lokal)</t>
        </is>
      </c>
      <c r="X126" s="20" t="inlineStr">
        <is>
          <t>Garis cokelat digambar; warna mengisi area (clip) setelah garis selesai.</t>
        </is>
      </c>
      <c r="Y126" s="20" t="inlineStr"/>
      <c r="Z126" s="20">
        <f>IF(OR(E126="Bisa",E126="Berat"),1,0)</f>
        <v/>
      </c>
      <c r="AA126" s="20">
        <f>IF(Z126=1,J126-ROW()/100000,"")</f>
        <v/>
      </c>
      <c r="AB126" s="20">
        <f>B126&amp;"|"&amp;K126</f>
        <v/>
      </c>
    </row>
    <row r="127" ht="78" customHeight="1">
      <c r="A127" s="9" t="inlineStr">
        <is>
          <t>CR16</t>
        </is>
      </c>
      <c r="B127" s="5" t="inlineStr">
        <is>
          <t>Craft (buatan tangan)</t>
        </is>
      </c>
      <c r="C127" s="11" t="inlineStr">
        <is>
          <t>Pasir (sand art)</t>
        </is>
      </c>
      <c r="D127" s="5" t="inlineStr">
        <is>
          <t>Gambar dari pasir di meja cahaya; sekali sapu, hilang.</t>
        </is>
      </c>
      <c r="E127" s="34" t="inlineStr">
        <is>
          <t>Berat</t>
        </is>
      </c>
      <c r="F127" s="9" t="inlineStr"/>
      <c r="G127" s="9" t="n">
        <v>4</v>
      </c>
      <c r="H127" s="9" t="n">
        <v>8</v>
      </c>
      <c r="I127" s="9" t="n">
        <v>7</v>
      </c>
      <c r="J127" s="26">
        <f>IF(E127="Tidak cocok","",ROUND(H127*W_GAYA_WOW+I127*W_GAYA_MEREK+(11-2*G127)*W_GAYA_MUDAH,1))</f>
        <v/>
      </c>
      <c r="K127" s="9">
        <f>IF(Z127=1,COUNTIFS($B$2:$B$254,B127,$AA$2:$AA$254,"&gt;"&amp;AA127)+1,"—")</f>
        <v/>
      </c>
      <c r="L127" s="9" t="n">
        <v>3</v>
      </c>
      <c r="M127" s="11" t="inlineStr">
        <is>
          <t>Sekali Sapu</t>
        </is>
      </c>
      <c r="N127" s="9" t="inlineStr">
        <is>
          <t>Anomali</t>
        </is>
      </c>
      <c r="O127" s="5" t="inlineStr">
        <is>
          <t>“Catatan di atas pasir hilang sekali sapu.”</t>
        </is>
      </c>
      <c r="P127" s="5" t="inlineStr">
        <is>
          <t>Catatan pasir tersapu → catatan yang tidak bisa diam-diam diubah: log audit berantai hash → CTA</t>
        </is>
      </c>
      <c r="Q127" s="24" t="n">
        <v>0.5</v>
      </c>
      <c r="R127" s="27">
        <f>IF(Q127="","",1-Q127)</f>
        <v/>
      </c>
      <c r="S127" s="5">
        <f>IF(Q127="","—",TEXT(1-Q127,"0%")&amp;" edukasi · "&amp;TEXT(Q127,"0%")&amp;" meme")</f>
        <v/>
      </c>
      <c r="T127" s="5" t="inlineStr">
        <is>
          <t>Log audit (rantai hash opsional)</t>
        </is>
      </c>
      <c r="U127" s="5" t="inlineStr">
        <is>
          <t>—</t>
        </is>
      </c>
      <c r="V127" s="9" t="inlineStr">
        <is>
          <t>15 dtk</t>
        </is>
      </c>
      <c r="W127" s="5" t="inlineStr">
        <is>
          <t>Baru</t>
        </is>
      </c>
      <c r="X127" s="5" t="inlineStr">
        <is>
          <t>Butir canvas; sapuan menghapus area; cahaya dari bawah.</t>
        </is>
      </c>
      <c r="Y127" s="5" t="inlineStr"/>
      <c r="Z127" s="5">
        <f>IF(OR(E127="Bisa",E127="Berat"),1,0)</f>
        <v/>
      </c>
      <c r="AA127" s="5">
        <f>IF(Z127=1,J127-ROW()/100000,"")</f>
        <v/>
      </c>
      <c r="AB127" s="5">
        <f>B127&amp;"|"&amp;K127</f>
        <v/>
      </c>
    </row>
    <row r="128" ht="78" customHeight="1">
      <c r="A128" s="19" t="inlineStr">
        <is>
          <t>CR17</t>
        </is>
      </c>
      <c r="B128" s="20" t="inlineStr">
        <is>
          <t>Craft (buatan tangan)</t>
        </is>
      </c>
      <c r="C128" s="21" t="inlineStr">
        <is>
          <t>Zine fotokopi</t>
        </is>
      </c>
      <c r="D128" s="20" t="inlineStr">
        <is>
          <t>Halaman hitam-putih kontras tinggi, tempelan miring, bintik mesin fotokopi.</t>
        </is>
      </c>
      <c r="E128" s="28" t="inlineStr">
        <is>
          <t>Bisa</t>
        </is>
      </c>
      <c r="F128" s="19" t="inlineStr"/>
      <c r="G128" s="19" t="n">
        <v>2</v>
      </c>
      <c r="H128" s="19" t="n">
        <v>7</v>
      </c>
      <c r="I128" s="19" t="n">
        <v>5</v>
      </c>
      <c r="J128" s="23">
        <f>IF(E128="Tidak cocok","",ROUND(H128*W_GAYA_WOW+I128*W_GAYA_MEREK+(11-2*G128)*W_GAYA_MUDAH,1))</f>
        <v/>
      </c>
      <c r="K128" s="19">
        <f>IF(Z128=1,COUNTIFS($B$2:$B$254,B128,$AA$2:$AA$254,"&gt;"&amp;AA128)+1,"—")</f>
        <v/>
      </c>
      <c r="L128" s="19" t="n">
        <v>3</v>
      </c>
      <c r="M128" s="21" t="inlineStr">
        <is>
          <t>Zine: Cara Bertahan Saat Audit</t>
        </is>
      </c>
      <c r="N128" s="19" t="inlineStr">
        <is>
          <t>Reverse psychology</t>
        </is>
      </c>
      <c r="O128" s="20" t="inlineStr">
        <is>
          <t>“Jangan fotokopi halaman ini.”</t>
        </is>
      </c>
      <c r="P128" s="20" t="inlineStr">
        <is>
          <t>Sampul zine → 3 halaman tips → halaman terakhir: Start Pre Check → CTA</t>
        </is>
      </c>
      <c r="Q128" s="24" t="n">
        <v>0.8</v>
      </c>
      <c r="R128" s="25">
        <f>IF(Q128="","",1-Q128)</f>
        <v/>
      </c>
      <c r="S128" s="20">
        <f>IF(Q128="","—",TEXT(1-Q128,"0%")&amp;" edukasi · "&amp;TEXT(Q128,"0%")&amp;" meme")</f>
        <v/>
      </c>
      <c r="T128" s="20" t="inlineStr">
        <is>
          <t>GAP Assessment</t>
        </is>
      </c>
      <c r="U128" s="20" t="inlineStr">
        <is>
          <t>—</t>
        </is>
      </c>
      <c r="V128" s="19" t="inlineStr">
        <is>
          <t>15 dtk</t>
        </is>
      </c>
      <c r="W128" s="20" t="inlineStr">
        <is>
          <t>Baru</t>
        </is>
      </c>
      <c r="X128" s="20" t="inlineStr">
        <is>
          <t>Filter kontras + bintik; potongan teks ditempel; garis potong.</t>
        </is>
      </c>
      <c r="Y128" s="20" t="inlineStr">
        <is>
          <t>Untuk organik/komunitas.</t>
        </is>
      </c>
      <c r="Z128" s="20">
        <f>IF(OR(E128="Bisa",E128="Berat"),1,0)</f>
        <v/>
      </c>
      <c r="AA128" s="20">
        <f>IF(Z128=1,J128-ROW()/100000,"")</f>
        <v/>
      </c>
      <c r="AB128" s="20">
        <f>B128&amp;"|"&amp;K128</f>
        <v/>
      </c>
    </row>
    <row r="129" ht="78" customHeight="1">
      <c r="A129" s="9" t="inlineStr">
        <is>
          <t>CR18</t>
        </is>
      </c>
      <c r="B129" s="5" t="inlineStr">
        <is>
          <t>Craft (buatan tangan)</t>
        </is>
      </c>
      <c r="C129" s="11" t="inlineStr">
        <is>
          <t>Krayon anak</t>
        </is>
      </c>
      <c r="D129" s="5" t="inlineStr">
        <is>
          <t>Gambar krayon polos ala anak-anak di kertas gambar.</t>
        </is>
      </c>
      <c r="E129" s="28" t="inlineStr">
        <is>
          <t>Bisa</t>
        </is>
      </c>
      <c r="F129" s="9" t="inlineStr"/>
      <c r="G129" s="9" t="n">
        <v>2</v>
      </c>
      <c r="H129" s="9" t="n">
        <v>7</v>
      </c>
      <c r="I129" s="9" t="n">
        <v>8</v>
      </c>
      <c r="J129" s="26">
        <f>IF(E129="Tidak cocok","",ROUND(H129*W_GAYA_WOW+I129*W_GAYA_MEREK+(11-2*G129)*W_GAYA_MUDAH,1))</f>
        <v/>
      </c>
      <c r="K129" s="9">
        <f>IF(Z129=1,COUNTIFS($B$2:$B$254,B129,$AA$2:$AA$254,"&gt;"&amp;AA129)+1,"—")</f>
        <v/>
      </c>
      <c r="L129" s="9" t="n">
        <v>3</v>
      </c>
      <c r="M129" s="11" t="inlineStr">
        <is>
          <t>Gambar Anak</t>
        </is>
      </c>
      <c r="N129" s="9" t="inlineStr">
        <is>
          <t>Anomali</t>
        </is>
      </c>
      <c r="O129" s="5" t="inlineStr">
        <is>
          <t>“Yang mendaftar di aplikasimu mungkin masih menggambar seperti ini.”</t>
        </is>
      </c>
      <c r="P129" s="5" t="inlineStr">
        <is>
          <t>Gambar krayon “aku &amp; HP” → formulir daftar → izin wali → Children Pro → CTA</t>
        </is>
      </c>
      <c r="Q129" s="24" t="n">
        <v>0.3</v>
      </c>
      <c r="R129" s="27">
        <f>IF(Q129="","",1-Q129)</f>
        <v/>
      </c>
      <c r="S129" s="5">
        <f>IF(Q129="","—",TEXT(1-Q129,"0%")&amp;" edukasi · "&amp;TEXT(Q129,"0%")&amp;" meme")</f>
        <v/>
      </c>
      <c r="T129" s="5" t="inlineStr">
        <is>
          <t>Children Pro</t>
        </is>
      </c>
      <c r="U129" s="5" t="inlineStr">
        <is>
          <t>children-pro</t>
        </is>
      </c>
      <c r="V129" s="9" t="inlineStr">
        <is>
          <t>15 dtk</t>
        </is>
      </c>
      <c r="W129" s="5" t="inlineStr">
        <is>
          <t>A31</t>
        </is>
      </c>
      <c r="X129" s="5" t="inlineStr">
        <is>
          <t>Goresan tebal bertekstur; warna keluar garis; write-on.</t>
        </is>
      </c>
      <c r="Y129" s="5" t="inlineStr">
        <is>
          <t>Tanpa foto/gambar anak sungguhan.</t>
        </is>
      </c>
      <c r="Z129" s="5">
        <f>IF(OR(E129="Bisa",E129="Berat"),1,0)</f>
        <v/>
      </c>
      <c r="AA129" s="5">
        <f>IF(Z129=1,J129-ROW()/100000,"")</f>
        <v/>
      </c>
      <c r="AB129" s="5">
        <f>B129&amp;"|"&amp;K129</f>
        <v/>
      </c>
    </row>
    <row r="130" ht="78" customHeight="1">
      <c r="A130" s="19" t="inlineStr">
        <is>
          <t>CR19</t>
        </is>
      </c>
      <c r="B130" s="20" t="inlineStr">
        <is>
          <t>Craft (buatan tangan)</t>
        </is>
      </c>
      <c r="C130" s="21" t="inlineStr">
        <is>
          <t>Flipbook</t>
        </is>
      </c>
      <c r="D130" s="20" t="inlineStr">
        <is>
          <t>Buku kecil yang halamannya dibalik cepat sehingga gambar bergerak.</t>
        </is>
      </c>
      <c r="E130" s="28" t="inlineStr">
        <is>
          <t>Bisa</t>
        </is>
      </c>
      <c r="F130" s="19" t="inlineStr"/>
      <c r="G130" s="19" t="n">
        <v>3</v>
      </c>
      <c r="H130" s="19" t="n">
        <v>8</v>
      </c>
      <c r="I130" s="19" t="n">
        <v>7</v>
      </c>
      <c r="J130" s="23">
        <f>IF(E130="Tidak cocok","",ROUND(H130*W_GAYA_WOW+I130*W_GAYA_MEREK+(11-2*G130)*W_GAYA_MUDAH,1))</f>
        <v/>
      </c>
      <c r="K130" s="19">
        <f>IF(Z130=1,COUNTIFS($B$2:$B$254,B130,$AA$2:$AA$254,"&gt;"&amp;AA130)+1,"—")</f>
        <v/>
      </c>
      <c r="L130" s="19" t="n">
        <v>3</v>
      </c>
      <c r="M130" s="21" t="inlineStr">
        <is>
          <t>Balik Halamannya</t>
        </is>
      </c>
      <c r="N130" s="19" t="inlineStr">
        <is>
          <t>Anomali</t>
        </is>
      </c>
      <c r="O130" s="20" t="inlineStr">
        <is>
          <t>“Balik halamannya cepat-cepat.”</t>
        </is>
      </c>
      <c r="P130" s="20" t="inlineStr">
        <is>
          <t>Flipbook: permohonan masuk → diproses → disetujui → selesai → DSR terlacak → CTA</t>
        </is>
      </c>
      <c r="Q130" s="24" t="n">
        <v>0.5</v>
      </c>
      <c r="R130" s="25">
        <f>IF(Q130="","",1-Q130)</f>
        <v/>
      </c>
      <c r="S130" s="20">
        <f>IF(Q130="","—",TEXT(1-Q130,"0%")&amp;" edukasi · "&amp;TEXT(Q130,"0%")&amp;" meme")</f>
        <v/>
      </c>
      <c r="T130" s="20" t="inlineStr">
        <is>
          <t>DSR</t>
        </is>
      </c>
      <c r="U130" s="20" t="inlineStr">
        <is>
          <t>dsr-detail</t>
        </is>
      </c>
      <c r="V130" s="19" t="inlineStr">
        <is>
          <t>15 dtk</t>
        </is>
      </c>
      <c r="W130" s="20" t="inlineStr">
        <is>
          <t>Baru</t>
        </is>
      </c>
      <c r="X130" s="20" t="inlineStr">
        <is>
          <t>Halaman rotateY cepat; gambar tiap halaman bergeser sedikit.</t>
        </is>
      </c>
      <c r="Y130" s="20" t="inlineStr"/>
      <c r="Z130" s="20">
        <f>IF(OR(E130="Bisa",E130="Berat"),1,0)</f>
        <v/>
      </c>
      <c r="AA130" s="20">
        <f>IF(Z130=1,J130-ROW()/100000,"")</f>
        <v/>
      </c>
      <c r="AB130" s="20">
        <f>B130&amp;"|"&amp;K130</f>
        <v/>
      </c>
    </row>
    <row r="131" ht="78" customHeight="1">
      <c r="A131" s="9" t="inlineStr">
        <is>
          <t>CR20</t>
        </is>
      </c>
      <c r="B131" s="5" t="inlineStr">
        <is>
          <t>Craft (buatan tangan)</t>
        </is>
      </c>
      <c r="C131" s="11" t="inlineStr">
        <is>
          <t>Buku pop-up</t>
        </is>
      </c>
      <c r="D131" s="5" t="inlineStr">
        <is>
          <t>Buku dibuka, bangunan kertas berdiri dari lipatan.</t>
        </is>
      </c>
      <c r="E131" s="34" t="inlineStr">
        <is>
          <t>Berat</t>
        </is>
      </c>
      <c r="F131" s="9" t="inlineStr"/>
      <c r="G131" s="9" t="n">
        <v>5</v>
      </c>
      <c r="H131" s="9" t="n">
        <v>10</v>
      </c>
      <c r="I131" s="9" t="n">
        <v>8</v>
      </c>
      <c r="J131" s="26">
        <f>IF(E131="Tidak cocok","",ROUND(H131*W_GAYA_WOW+I131*W_GAYA_MEREK+(11-2*G131)*W_GAYA_MUDAH,1))</f>
        <v/>
      </c>
      <c r="K131" s="9">
        <f>IF(Z131=1,COUNTIFS($B$2:$B$254,B131,$AA$2:$AA$254,"&gt;"&amp;AA131)+1,"—")</f>
        <v/>
      </c>
      <c r="L131" s="9" t="n">
        <v>3</v>
      </c>
      <c r="M131" s="11" t="inlineStr">
        <is>
          <t>Buku Pop-up Kepatuhan</t>
        </is>
      </c>
      <c r="N131" s="9" t="inlineStr">
        <is>
          <t>Anomali</t>
        </is>
      </c>
      <c r="O131" s="5" t="inlineStr">
        <is>
          <t>“Buka halamannya. Kantormu berdiri.”</t>
        </is>
      </c>
      <c r="P131" s="5" t="inlineStr">
        <is>
          <t>Halaman 1: kantor &amp; data → 2: risiko berdiri → 3: modul Nexus berdiri rapi → CTA</t>
        </is>
      </c>
      <c r="Q131" s="24" t="n">
        <v>0.3</v>
      </c>
      <c r="R131" s="27">
        <f>IF(Q131="","",1-Q131)</f>
        <v/>
      </c>
      <c r="S131" s="5">
        <f>IF(Q131="","—",TEXT(1-Q131,"0%")&amp;" edukasi · "&amp;TEXT(Q131,"0%")&amp;" meme")</f>
        <v/>
      </c>
      <c r="T131" s="5" t="inlineStr">
        <is>
          <t>Platform</t>
        </is>
      </c>
      <c r="U131" s="5" t="inlineStr">
        <is>
          <t>—</t>
        </is>
      </c>
      <c r="V131" s="9" t="inlineStr">
        <is>
          <t>25 dtk</t>
        </is>
      </c>
      <c r="W131" s="5" t="inlineStr">
        <is>
          <t>Baru</t>
        </is>
      </c>
      <c r="X131" s="5" t="inlineStr">
        <is>
          <t>Halaman CSS 3D; elemen berdiri lewat rotateX dari engsel.</t>
        </is>
      </c>
      <c r="Y131" s="5" t="inlineStr"/>
      <c r="Z131" s="5">
        <f>IF(OR(E131="Bisa",E131="Berat"),1,0)</f>
        <v/>
      </c>
      <c r="AA131" s="5">
        <f>IF(Z131=1,J131-ROW()/100000,"")</f>
        <v/>
      </c>
      <c r="AB131" s="5">
        <f>B131&amp;"|"&amp;K131</f>
        <v/>
      </c>
    </row>
    <row r="132" ht="78" customHeight="1">
      <c r="A132" s="19" t="inlineStr">
        <is>
          <t>CR21</t>
        </is>
      </c>
      <c r="B132" s="20" t="inlineStr">
        <is>
          <t>Craft (buatan tangan)</t>
        </is>
      </c>
      <c r="C132" s="21" t="inlineStr">
        <is>
          <t>Amplop &amp; segel</t>
        </is>
      </c>
      <c r="D132" s="20" t="inlineStr">
        <is>
          <t>Surat dilipat, masuk amplop, disegel, dan dikirim.</t>
        </is>
      </c>
      <c r="E132" s="28" t="inlineStr">
        <is>
          <t>Bisa</t>
        </is>
      </c>
      <c r="F132" s="19" t="inlineStr"/>
      <c r="G132" s="19" t="n">
        <v>3</v>
      </c>
      <c r="H132" s="19" t="n">
        <v>7</v>
      </c>
      <c r="I132" s="19" t="n">
        <v>8</v>
      </c>
      <c r="J132" s="23">
        <f>IF(E132="Tidak cocok","",ROUND(H132*W_GAYA_WOW+I132*W_GAYA_MEREK+(11-2*G132)*W_GAYA_MUDAH,1))</f>
        <v/>
      </c>
      <c r="K132" s="19">
        <f>IF(Z132=1,COUNTIFS($B$2:$B$254,B132,$AA$2:$AA$254,"&gt;"&amp;AA132)+1,"—")</f>
        <v/>
      </c>
      <c r="L132" s="19" t="n">
        <v>3</v>
      </c>
      <c r="M132" s="21" t="inlineStr">
        <is>
          <t>Surat yang Harus Sampai</t>
        </is>
      </c>
      <c r="N132" s="19" t="inlineStr">
        <is>
          <t>Relate</t>
        </is>
      </c>
      <c r="O132" s="20" t="inlineStr">
        <is>
          <t>“Surat ini harus sampai paling lambat 3×24 jam.”</t>
        </is>
      </c>
      <c r="P132" s="20" t="inlineStr">
        <is>
          <t>Templat pemberitahuan terisi → dilipat → disegel → penghitung mundur berhenti tepat waktu → CTA</t>
        </is>
      </c>
      <c r="Q132" s="24" t="n">
        <v>0.3</v>
      </c>
      <c r="R132" s="25">
        <f>IF(Q132="","",1-Q132)</f>
        <v/>
      </c>
      <c r="S132" s="20">
        <f>IF(Q132="","—",TEXT(1-Q132,"0%")&amp;" edukasi · "&amp;TEXT(Q132,"0%")&amp;" meme")</f>
        <v/>
      </c>
      <c r="T132" s="20" t="inlineStr">
        <is>
          <t>Insiden (templat pemberitahuan tertulis)</t>
        </is>
      </c>
      <c r="U132" s="20" t="inlineStr">
        <is>
          <t>breach-aksi</t>
        </is>
      </c>
      <c r="V132" s="19" t="inlineStr">
        <is>
          <t>15 dtk</t>
        </is>
      </c>
      <c r="W132" s="20" t="inlineStr">
        <is>
          <t>Baru</t>
        </is>
      </c>
      <c r="X132" s="20" t="inlineStr">
        <is>
          <t>Lipatan panel 3D; segel cap; amplop bergeser keluar.</t>
        </is>
      </c>
      <c r="Y132" s="20" t="inlineStr"/>
      <c r="Z132" s="20">
        <f>IF(OR(E132="Bisa",E132="Berat"),1,0)</f>
        <v/>
      </c>
      <c r="AA132" s="20">
        <f>IF(Z132=1,J132-ROW()/100000,"")</f>
        <v/>
      </c>
      <c r="AB132" s="20">
        <f>B132&amp;"|"&amp;K132</f>
        <v/>
      </c>
    </row>
    <row r="133" ht="78" customHeight="1">
      <c r="A133" s="9" t="inlineStr">
        <is>
          <t>CR22</t>
        </is>
      </c>
      <c r="B133" s="5" t="inlineStr">
        <is>
          <t>Craft (buatan tangan)</t>
        </is>
      </c>
      <c r="C133" s="11" t="inlineStr">
        <is>
          <t>Stempel persetujuan</t>
        </is>
      </c>
      <c r="D133" s="5" t="inlineStr">
        <is>
          <t>Cap karet dijatuhkan berulang di dokumen: DISETUJUI.</t>
        </is>
      </c>
      <c r="E133" s="28" t="inlineStr">
        <is>
          <t>Bisa</t>
        </is>
      </c>
      <c r="F133" s="9" t="inlineStr"/>
      <c r="G133" s="9" t="n">
        <v>2</v>
      </c>
      <c r="H133" s="9" t="n">
        <v>7</v>
      </c>
      <c r="I133" s="9" t="n">
        <v>8</v>
      </c>
      <c r="J133" s="26">
        <f>IF(E133="Tidak cocok","",ROUND(H133*W_GAYA_WOW+I133*W_GAYA_MEREK+(11-2*G133)*W_GAYA_MUDAH,1))</f>
        <v/>
      </c>
      <c r="K133" s="9">
        <f>IF(Z133=1,COUNTIFS($B$2:$B$254,B133,$AA$2:$AA$254,"&gt;"&amp;AA133)+1,"—")</f>
        <v/>
      </c>
      <c r="L133" s="9" t="n">
        <v>3</v>
      </c>
      <c r="M133" s="11" t="inlineStr">
        <is>
          <t>Disetujui oleh Siapa?</t>
        </is>
      </c>
      <c r="N133" s="9" t="inlineStr">
        <is>
          <t>Anomali</t>
        </is>
      </c>
      <c r="O133" s="5" t="inlineStr">
        <is>
          <t>“Disetujui. Disetujui. Disetujui. Oleh siapa?”</t>
        </is>
      </c>
      <c r="P133" s="5" t="inlineStr">
        <is>
          <t>Cap tanpa nama → riwayat perubahan &amp; persetujuan tampil: siapa, kapan → CTA</t>
        </is>
      </c>
      <c r="Q133" s="24" t="n">
        <v>0.3</v>
      </c>
      <c r="R133" s="27">
        <f>IF(Q133="","",1-Q133)</f>
        <v/>
      </c>
      <c r="S133" s="5">
        <f>IF(Q133="","—",TEXT(1-Q133,"0%")&amp;" edukasi · "&amp;TEXT(Q133,"0%")&amp;" meme")</f>
        <v/>
      </c>
      <c r="T133" s="5" t="inlineStr">
        <is>
          <t>RoPA (riwayat &amp; alur persetujuan)</t>
        </is>
      </c>
      <c r="U133" s="5" t="inlineStr">
        <is>
          <t>—</t>
        </is>
      </c>
      <c r="V133" s="9" t="inlineStr">
        <is>
          <t>10 dtk</t>
        </is>
      </c>
      <c r="W133" s="5" t="inlineStr">
        <is>
          <t>Baru</t>
        </is>
      </c>
      <c r="X133" s="5" t="inlineStr">
        <is>
          <t>Cap masuk dengan skala + guncangan; tinta tidak rata (mask bintik).</t>
        </is>
      </c>
      <c r="Y133" s="5" t="inlineStr"/>
      <c r="Z133" s="5">
        <f>IF(OR(E133="Bisa",E133="Berat"),1,0)</f>
        <v/>
      </c>
      <c r="AA133" s="5">
        <f>IF(Z133=1,J133-ROW()/100000,"")</f>
        <v/>
      </c>
      <c r="AB133" s="5">
        <f>B133&amp;"|"&amp;K133</f>
        <v/>
      </c>
    </row>
    <row r="134" ht="78" customHeight="1">
      <c r="A134" s="19" t="inlineStr">
        <is>
          <t>CR23</t>
        </is>
      </c>
      <c r="B134" s="20" t="inlineStr">
        <is>
          <t>Craft (buatan tangan)</t>
        </is>
      </c>
      <c r="C134" s="21" t="inlineStr">
        <is>
          <t>Lemari arsip / kartu indeks</t>
        </is>
      </c>
      <c r="D134" s="20" t="inlineStr">
        <is>
          <t>Laci arsip ditarik; kartu indeks dibolak-balik.</t>
        </is>
      </c>
      <c r="E134" s="28" t="inlineStr">
        <is>
          <t>Bisa</t>
        </is>
      </c>
      <c r="F134" s="19" t="inlineStr"/>
      <c r="G134" s="19" t="n">
        <v>3</v>
      </c>
      <c r="H134" s="19" t="n">
        <v>7</v>
      </c>
      <c r="I134" s="19" t="n">
        <v>8</v>
      </c>
      <c r="J134" s="23">
        <f>IF(E134="Tidak cocok","",ROUND(H134*W_GAYA_WOW+I134*W_GAYA_MEREK+(11-2*G134)*W_GAYA_MUDAH,1))</f>
        <v/>
      </c>
      <c r="K134" s="19">
        <f>IF(Z134=1,COUNTIFS($B$2:$B$254,B134,$AA$2:$AA$254,"&gt;"&amp;AA134)+1,"—")</f>
        <v/>
      </c>
      <c r="L134" s="19" t="n">
        <v>3</v>
      </c>
      <c r="M134" s="21" t="inlineStr">
        <is>
          <t>Laci Nomor Berapa?</t>
        </is>
      </c>
      <c r="N134" s="19" t="inlineStr">
        <is>
          <t>Relate</t>
        </is>
      </c>
      <c r="O134" s="20" t="inlineStr">
        <is>
          <t>“Lemari ini punya seratus laci. RoPA-nya di laci mana?”</t>
        </is>
      </c>
      <c r="P134" s="20" t="inlineStr">
        <is>
          <t>Laci dibuka-tutup panik → kotak cari → register RoPA dengan kode otomatis → CTA</t>
        </is>
      </c>
      <c r="Q134" s="24" t="n">
        <v>0.3</v>
      </c>
      <c r="R134" s="25">
        <f>IF(Q134="","",1-Q134)</f>
        <v/>
      </c>
      <c r="S134" s="20">
        <f>IF(Q134="","—",TEXT(1-Q134,"0%")&amp;" edukasi · "&amp;TEXT(Q134,"0%")&amp;" meme")</f>
        <v/>
      </c>
      <c r="T134" s="20" t="inlineStr">
        <is>
          <t>RoPA</t>
        </is>
      </c>
      <c r="U134" s="20" t="inlineStr">
        <is>
          <t>ropa-list-baru</t>
        </is>
      </c>
      <c r="V134" s="19" t="inlineStr">
        <is>
          <t>15 dtk</t>
        </is>
      </c>
      <c r="W134" s="20" t="inlineStr">
        <is>
          <t>Baru</t>
        </is>
      </c>
      <c r="X134" s="20" t="inlineStr">
        <is>
          <t>Laci translateZ; kartu flip; label laci.</t>
        </is>
      </c>
      <c r="Y134" s="20" t="inlineStr">
        <is>
          <t>Jumlah laci = ilustrasi.</t>
        </is>
      </c>
      <c r="Z134" s="20">
        <f>IF(OR(E134="Bisa",E134="Berat"),1,0)</f>
        <v/>
      </c>
      <c r="AA134" s="20">
        <f>IF(Z134=1,J134-ROW()/100000,"")</f>
        <v/>
      </c>
      <c r="AB134" s="20">
        <f>B134&amp;"|"&amp;K134</f>
        <v/>
      </c>
    </row>
    <row r="135" ht="78" customHeight="1">
      <c r="A135" s="9" t="inlineStr">
        <is>
          <t>CR24</t>
        </is>
      </c>
      <c r="B135" s="5" t="inlineStr">
        <is>
          <t>Craft (buatan tangan)</t>
        </is>
      </c>
      <c r="C135" s="11" t="inlineStr">
        <is>
          <t>Balok susun (mainan bangun)</t>
        </is>
      </c>
      <c r="D135" s="5" t="inlineStr">
        <is>
          <t>Balok warna-warni disusun dari bawah membentuk bangunan.</t>
        </is>
      </c>
      <c r="E135" s="28" t="inlineStr">
        <is>
          <t>Bisa</t>
        </is>
      </c>
      <c r="F135" s="9" t="inlineStr"/>
      <c r="G135" s="9" t="n">
        <v>2</v>
      </c>
      <c r="H135" s="9" t="n">
        <v>7</v>
      </c>
      <c r="I135" s="9" t="n">
        <v>7</v>
      </c>
      <c r="J135" s="26">
        <f>IF(E135="Tidak cocok","",ROUND(H135*W_GAYA_WOW+I135*W_GAYA_MEREK+(11-2*G135)*W_GAYA_MUDAH,1))</f>
        <v/>
      </c>
      <c r="K135" s="9">
        <f>IF(Z135=1,COUNTIFS($B$2:$B$254,B135,$AA$2:$AA$254,"&gt;"&amp;AA135)+1,"—")</f>
        <v/>
      </c>
      <c r="L135" s="9" t="n">
        <v>3</v>
      </c>
      <c r="M135" s="11" t="inlineStr">
        <is>
          <t>Bangun dari Bawah</t>
        </is>
      </c>
      <c r="N135" s="9" t="inlineStr">
        <is>
          <t>Logika dipatahkan</t>
        </is>
      </c>
      <c r="O135" s="5" t="inlineStr">
        <is>
          <t>“Kepatuhan tidak dibangun dari atap.”</t>
        </is>
      </c>
      <c r="P135" s="5" t="inlineStr">
        <is>
          <t>Atap melayang jatuh → mulai dari fondasi: GAP → RoPA → DPIA → atap terpasang → CTA</t>
        </is>
      </c>
      <c r="Q135" s="24" t="n">
        <v>0.5</v>
      </c>
      <c r="R135" s="27">
        <f>IF(Q135="","",1-Q135)</f>
        <v/>
      </c>
      <c r="S135" s="5">
        <f>IF(Q135="","—",TEXT(1-Q135,"0%")&amp;" edukasi · "&amp;TEXT(Q135,"0%")&amp;" meme")</f>
        <v/>
      </c>
      <c r="T135" s="5" t="inlineStr">
        <is>
          <t>Program siap PP 33</t>
        </is>
      </c>
      <c r="U135" s="5" t="inlineStr">
        <is>
          <t>—</t>
        </is>
      </c>
      <c r="V135" s="9" t="inlineStr">
        <is>
          <t>15 dtk</t>
        </is>
      </c>
      <c r="W135" s="5" t="inlineStr">
        <is>
          <t>Baru</t>
        </is>
      </c>
      <c r="X135" s="5" t="inlineStr">
        <is>
          <t>Balok kotak polos jatuh &amp; mengunci; susunan dari data.</t>
        </is>
      </c>
      <c r="Y135" s="5" t="inlineStr">
        <is>
          <t>Balok polos; tanpa bentuk/merek mainan tertentu.</t>
        </is>
      </c>
      <c r="Z135" s="5">
        <f>IF(OR(E135="Bisa",E135="Berat"),1,0)</f>
        <v/>
      </c>
      <c r="AA135" s="5">
        <f>IF(Z135=1,J135-ROW()/100000,"")</f>
        <v/>
      </c>
      <c r="AB135" s="5">
        <f>B135&amp;"|"&amp;K135</f>
        <v/>
      </c>
    </row>
    <row r="136" ht="78" customHeight="1">
      <c r="A136" s="19" t="inlineStr">
        <is>
          <t>CR25</t>
        </is>
      </c>
      <c r="B136" s="20" t="inlineStr">
        <is>
          <t>Craft (buatan tangan)</t>
        </is>
      </c>
      <c r="C136" s="21" t="inlineStr">
        <is>
          <t>Claymation (tanah liat)</t>
        </is>
      </c>
      <c r="D136" s="20" t="inlineStr">
        <is>
          <t>Tokoh dan benda dari tanah liat bergerak frame demi frame.</t>
        </is>
      </c>
      <c r="E136" s="35" t="inlineStr">
        <is>
          <t>Tidak cocok</t>
        </is>
      </c>
      <c r="F136" s="19" t="inlineStr"/>
      <c r="G136" s="19" t="n">
        <v>5</v>
      </c>
      <c r="H136" s="19" t="n">
        <v>9</v>
      </c>
      <c r="I136" s="19" t="n">
        <v>7</v>
      </c>
      <c r="J136" s="23">
        <f>IF(E136="Tidak cocok","",ROUND(H136*W_GAYA_WOW+I136*W_GAYA_MEREK+(11-2*G136)*W_GAYA_MUDAH,1))</f>
        <v/>
      </c>
      <c r="K136" s="19">
        <f>IF(Z136=1,COUNTIFS($B$2:$B$254,B136,$AA$2:$AA$254,"&gt;"&amp;AA136)+1,"—")</f>
        <v/>
      </c>
      <c r="L136" s="19" t="n">
        <v>3</v>
      </c>
      <c r="M136" s="21" t="inlineStr">
        <is>
          <t>—</t>
        </is>
      </c>
      <c r="N136" s="19" t="inlineStr">
        <is>
          <t>—</t>
        </is>
      </c>
      <c r="O136" s="20" t="inlineStr">
        <is>
          <t>—</t>
        </is>
      </c>
      <c r="P136" s="20" t="inlineStr">
        <is>
          <t>—</t>
        </is>
      </c>
      <c r="Q136" s="24" t="n"/>
      <c r="R136" s="25">
        <f>IF(Q136="","",1-Q136)</f>
        <v/>
      </c>
      <c r="S136" s="20">
        <f>IF(Q136="","—",TEXT(1-Q136,"0%")&amp;" edukasi · "&amp;TEXT(Q136,"0%")&amp;" meme")</f>
        <v/>
      </c>
      <c r="T136" s="20" t="inlineStr">
        <is>
          <t>—</t>
        </is>
      </c>
      <c r="U136" s="20" t="inlineStr">
        <is>
          <t>—</t>
        </is>
      </c>
      <c r="V136" s="19" t="inlineStr">
        <is>
          <t>—</t>
        </is>
      </c>
      <c r="W136" s="20" t="inlineStr">
        <is>
          <t>—</t>
        </is>
      </c>
      <c r="X136" s="20" t="inlineStr">
        <is>
          <t>Butuh model 3D/foto tanah liat sungguhan.</t>
        </is>
      </c>
      <c r="Y136" s="20" t="inlineStr">
        <is>
          <t>Butuh pemodelan atau pemotretan nyata.</t>
        </is>
      </c>
      <c r="Z136" s="20">
        <f>IF(OR(E136="Bisa",E136="Berat"),1,0)</f>
        <v/>
      </c>
      <c r="AA136" s="20">
        <f>IF(Z136=1,J136-ROW()/100000,"")</f>
        <v/>
      </c>
      <c r="AB136" s="20">
        <f>B136&amp;"|"&amp;K136</f>
        <v/>
      </c>
    </row>
    <row r="137" ht="78" customHeight="1">
      <c r="A137" s="9" t="inlineStr">
        <is>
          <t>CR26</t>
        </is>
      </c>
      <c r="B137" s="5" t="inlineStr">
        <is>
          <t>Craft (buatan tangan)</t>
        </is>
      </c>
      <c r="C137" s="11" t="inlineStr">
        <is>
          <t>Animasi karakter frame-by-frame</t>
        </is>
      </c>
      <c r="D137" s="5" t="inlineStr">
        <is>
          <t>Tokoh kartun digambar tangan tiap frame.</t>
        </is>
      </c>
      <c r="E137" s="35" t="inlineStr">
        <is>
          <t>Tidak cocok</t>
        </is>
      </c>
      <c r="F137" s="9" t="inlineStr"/>
      <c r="G137" s="9" t="n">
        <v>5</v>
      </c>
      <c r="H137" s="9" t="n">
        <v>9</v>
      </c>
      <c r="I137" s="9" t="n">
        <v>8</v>
      </c>
      <c r="J137" s="26">
        <f>IF(E137="Tidak cocok","",ROUND(H137*W_GAYA_WOW+I137*W_GAYA_MEREK+(11-2*G137)*W_GAYA_MUDAH,1))</f>
        <v/>
      </c>
      <c r="K137" s="9">
        <f>IF(Z137=1,COUNTIFS($B$2:$B$254,B137,$AA$2:$AA$254,"&gt;"&amp;AA137)+1,"—")</f>
        <v/>
      </c>
      <c r="L137" s="9" t="n">
        <v>3</v>
      </c>
      <c r="M137" s="11" t="inlineStr">
        <is>
          <t>—</t>
        </is>
      </c>
      <c r="N137" s="9" t="inlineStr">
        <is>
          <t>—</t>
        </is>
      </c>
      <c r="O137" s="5" t="inlineStr">
        <is>
          <t>—</t>
        </is>
      </c>
      <c r="P137" s="5" t="inlineStr">
        <is>
          <t>—</t>
        </is>
      </c>
      <c r="Q137" s="24" t="n"/>
      <c r="R137" s="27">
        <f>IF(Q137="","",1-Q137)</f>
        <v/>
      </c>
      <c r="S137" s="5">
        <f>IF(Q137="","—",TEXT(1-Q137,"0%")&amp;" edukasi · "&amp;TEXT(Q137,"0%")&amp;" meme")</f>
        <v/>
      </c>
      <c r="T137" s="5" t="inlineStr">
        <is>
          <t>—</t>
        </is>
      </c>
      <c r="U137" s="5" t="inlineStr">
        <is>
          <t>—</t>
        </is>
      </c>
      <c r="V137" s="9" t="inlineStr">
        <is>
          <t>—</t>
        </is>
      </c>
      <c r="W137" s="5" t="inlineStr">
        <is>
          <t>—</t>
        </is>
      </c>
      <c r="X137" s="5" t="inlineStr">
        <is>
          <t>Butuh ilustrator/animator; di luar kemampuan mesin berbasis kode.</t>
        </is>
      </c>
      <c r="Y137" s="5" t="inlineStr">
        <is>
          <t>Alternatif: tokoh bentuk sederhana (GB03) atau emoji.</t>
        </is>
      </c>
      <c r="Z137" s="5">
        <f>IF(OR(E137="Bisa",E137="Berat"),1,0)</f>
        <v/>
      </c>
      <c r="AA137" s="5">
        <f>IF(Z137=1,J137-ROW()/100000,"")</f>
        <v/>
      </c>
      <c r="AB137" s="5">
        <f>B137&amp;"|"&amp;K137</f>
        <v/>
      </c>
    </row>
    <row r="138" ht="78" customHeight="1">
      <c r="A138" s="19" t="inlineStr">
        <is>
          <t>UI01</t>
        </is>
      </c>
      <c r="B138" s="20" t="inlineStr">
        <is>
          <t>Layar &amp; UI</t>
        </is>
      </c>
      <c r="C138" s="21" t="inlineStr">
        <is>
          <t>UI walkthrough berkamera</t>
        </is>
      </c>
      <c r="D138" s="20" t="inlineStr">
        <is>
          <t>Screenshot asli dalam bingkai browser melayang; kamera menyorot bagian penting.</t>
        </is>
      </c>
      <c r="E138" s="22" t="inlineStr">
        <is>
          <t>Sudah</t>
        </is>
      </c>
      <c r="F138" s="19" t="inlineStr">
        <is>
          <t>M01, M02</t>
        </is>
      </c>
      <c r="G138" s="19" t="n">
        <v>3</v>
      </c>
      <c r="H138" s="19" t="n">
        <v>7</v>
      </c>
      <c r="I138" s="19" t="n">
        <v>10</v>
      </c>
      <c r="J138" s="23">
        <f>IF(E138="Tidak cocok","",ROUND(H138*W_GAYA_WOW+I138*W_GAYA_MEREK+(11-2*G138)*W_GAYA_MUDAH,1))</f>
        <v/>
      </c>
      <c r="K138" s="19">
        <f>IF(Z138=1,COUNTIFS($B$2:$B$254,B138,$AA$2:$AA$254,"&gt;"&amp;AA138)+1,"—")</f>
        <v/>
      </c>
      <c r="L138" s="19" t="n">
        <v>4</v>
      </c>
      <c r="M138" s="21" t="inlineStr">
        <is>
          <t>Seri Nexus Explained</t>
        </is>
      </c>
      <c r="N138" s="19" t="inlineStr">
        <is>
          <t>Logika dipatahkan</t>
        </is>
      </c>
      <c r="O138" s="20" t="inlineStr">
        <is>
          <t>“Laporan kepatuhan terbaik, bukan yang paling tebal.”</t>
        </is>
      </c>
      <c r="P138" s="20" t="inlineStr">
        <is>
          <t>Hook → 3–4 layar asli disorot → CTA</t>
        </is>
      </c>
      <c r="Q138" s="24" t="n">
        <v>0.15</v>
      </c>
      <c r="R138" s="25">
        <f>IF(Q138="","",1-Q138)</f>
        <v/>
      </c>
      <c r="S138" s="20">
        <f>IF(Q138="","—",TEXT(1-Q138,"0%")&amp;" edukasi · "&amp;TEXT(Q138,"0%")&amp;" meme")</f>
        <v/>
      </c>
      <c r="T138" s="20" t="inlineStr">
        <is>
          <t>Semua modul</t>
        </is>
      </c>
      <c r="U138" s="20" t="inlineStr">
        <is>
          <t>semua aset</t>
        </is>
      </c>
      <c r="V138" s="19" t="inlineStr">
        <is>
          <t>45–48 dtk</t>
        </is>
      </c>
      <c r="W138" s="20" t="inlineStr">
        <is>
          <t>M01, M02 (sudah dirender) · M03–M22 menyusul</t>
        </is>
      </c>
      <c r="X138" s="20" t="inlineStr">
        <is>
          <t>Tipe nx_shot (lib/seri-modul.js): bingkai 3D, kamera keyframe, sorotan berlabel.</t>
        </is>
      </c>
      <c r="Y138" s="20" t="inlineStr"/>
      <c r="Z138" s="20">
        <f>IF(OR(E138="Bisa",E138="Berat"),1,0)</f>
        <v/>
      </c>
      <c r="AA138" s="20">
        <f>IF(Z138=1,J138-ROW()/100000,"")</f>
        <v/>
      </c>
      <c r="AB138" s="20">
        <f>B138&amp;"|"&amp;K138</f>
        <v/>
      </c>
    </row>
    <row r="139" ht="78" customHeight="1">
      <c r="A139" s="9" t="inlineStr">
        <is>
          <t>UI02</t>
        </is>
      </c>
      <c r="B139" s="5" t="inlineStr">
        <is>
          <t>Layar &amp; UI</t>
        </is>
      </c>
      <c r="C139" s="11" t="inlineStr">
        <is>
          <t>Chat story</t>
        </is>
      </c>
      <c r="D139" s="5" t="inlineStr">
        <is>
          <t>Cerita lewat gelembung percakapan yang muncul satu per satu.</t>
        </is>
      </c>
      <c r="E139" s="22" t="inlineStr">
        <is>
          <t>Sudah</t>
        </is>
      </c>
      <c r="F139" s="9" t="inlineStr">
        <is>
          <t>N05</t>
        </is>
      </c>
      <c r="G139" s="9" t="n">
        <v>2</v>
      </c>
      <c r="H139" s="9" t="n">
        <v>7</v>
      </c>
      <c r="I139" s="9" t="n">
        <v>8</v>
      </c>
      <c r="J139" s="26">
        <f>IF(E139="Tidak cocok","",ROUND(H139*W_GAYA_WOW+I139*W_GAYA_MEREK+(11-2*G139)*W_GAYA_MUDAH,1))</f>
        <v/>
      </c>
      <c r="K139" s="9">
        <f>IF(Z139=1,COUNTIFS($B$2:$B$254,B139,$AA$2:$AA$254,"&gt;"&amp;AA139)+1,"—")</f>
        <v/>
      </c>
      <c r="L139" s="9" t="n">
        <v>4</v>
      </c>
      <c r="M139" s="11" t="inlineStr">
        <is>
          <t>Tolong Hapus Data Saya</t>
        </is>
      </c>
      <c r="N139" s="9" t="inlineStr">
        <is>
          <t>Relate</t>
        </is>
      </c>
      <c r="O139" s="5" t="inlineStr">
        <is>
          <t>“Tolong hapus semua data saya.”</t>
        </is>
      </c>
      <c r="P139" s="5" t="inlineStr">
        <is>
          <t>Chat pelanggan → panik → alur DSR → CTA</t>
        </is>
      </c>
      <c r="Q139" s="24" t="n">
        <v>0.5</v>
      </c>
      <c r="R139" s="27">
        <f>IF(Q139="","",1-Q139)</f>
        <v/>
      </c>
      <c r="S139" s="5">
        <f>IF(Q139="","—",TEXT(1-Q139,"0%")&amp;" edukasi · "&amp;TEXT(Q139,"0%")&amp;" meme")</f>
        <v/>
      </c>
      <c r="T139" s="5" t="inlineStr">
        <is>
          <t>DSR</t>
        </is>
      </c>
      <c r="U139" s="5" t="inlineStr">
        <is>
          <t>dsr-form, dsr-detail</t>
        </is>
      </c>
      <c r="V139" s="9" t="inlineStr">
        <is>
          <t>43 dtk</t>
        </is>
      </c>
      <c r="W139" s="5" t="inlineStr">
        <is>
          <t>N05 (sudah dirender)</t>
        </is>
      </c>
      <c r="X139" s="5" t="inlineStr">
        <is>
          <t>Gelembung masuk dengan indikator mengetik; waktu dari VO.</t>
        </is>
      </c>
      <c r="Y139" s="5" t="inlineStr"/>
      <c r="Z139" s="5">
        <f>IF(OR(E139="Bisa",E139="Berat"),1,0)</f>
        <v/>
      </c>
      <c r="AA139" s="5">
        <f>IF(Z139=1,J139-ROW()/100000,"")</f>
        <v/>
      </c>
      <c r="AB139" s="5">
        <f>B139&amp;"|"&amp;K139</f>
        <v/>
      </c>
    </row>
    <row r="140" ht="78" customHeight="1">
      <c r="A140" s="19" t="inlineStr">
        <is>
          <t>UI03</t>
        </is>
      </c>
      <c r="B140" s="20" t="inlineStr">
        <is>
          <t>Layar &amp; UI</t>
        </is>
      </c>
      <c r="C140" s="21" t="inlineStr">
        <is>
          <t>Story slides / rekap tahunan</t>
        </is>
      </c>
      <c r="D140" s="20" t="inlineStr">
        <is>
          <t>Slide bergradasi cerah dengan angka raksasa dan bilah progres di atas.</t>
        </is>
      </c>
      <c r="E140" s="22" t="inlineStr">
        <is>
          <t>Sudah</t>
        </is>
      </c>
      <c r="F140" s="19" t="inlineStr">
        <is>
          <t>A22</t>
        </is>
      </c>
      <c r="G140" s="19" t="n">
        <v>3</v>
      </c>
      <c r="H140" s="19" t="n">
        <v>8</v>
      </c>
      <c r="I140" s="19" t="n">
        <v>7</v>
      </c>
      <c r="J140" s="23">
        <f>IF(E140="Tidak cocok","",ROUND(H140*W_GAYA_WOW+I140*W_GAYA_MEREK+(11-2*G140)*W_GAYA_MUDAH,1))</f>
        <v/>
      </c>
      <c r="K140" s="19">
        <f>IF(Z140=1,COUNTIFS($B$2:$B$254,B140,$AA$2:$AA$254,"&gt;"&amp;AA140)+1,"—")</f>
        <v/>
      </c>
      <c r="L140" s="19" t="n">
        <v>4</v>
      </c>
      <c r="M140" s="21" t="inlineStr">
        <is>
          <t>Rekap Tahunan DPO 2026</t>
        </is>
      </c>
      <c r="N140" s="19" t="inlineStr">
        <is>
          <t>Relate</t>
        </is>
      </c>
      <c r="O140" s="20" t="inlineStr">
        <is>
          <t>“Rekap tahunan DPO 2026 kamu sudah siap.”</t>
        </is>
      </c>
      <c r="P140" s="20" t="inlineStr">
        <is>
          <t>Kalimat favorit → menit rapat → file favorit → kepribadian → 2027 → ajakan tag</t>
        </is>
      </c>
      <c r="Q140" s="24" t="n">
        <v>0.7</v>
      </c>
      <c r="R140" s="25">
        <f>IF(Q140="","",1-Q140)</f>
        <v/>
      </c>
      <c r="S140" s="20">
        <f>IF(Q140="","—",TEXT(1-Q140,"0%")&amp;" edukasi · "&amp;TEXT(Q140,"0%")&amp;" meme")</f>
        <v/>
      </c>
      <c r="T140" s="20" t="inlineStr">
        <is>
          <t>Brand + PP 33</t>
        </is>
      </c>
      <c r="U140" s="20" t="inlineStr">
        <is>
          <t>dashboard</t>
        </is>
      </c>
      <c r="V140" s="19" t="inlineStr">
        <is>
          <t>46 dtk</t>
        </is>
      </c>
      <c r="W140" s="20" t="inlineStr">
        <is>
          <t>A22 (sudah dirender)</t>
        </is>
      </c>
      <c r="X140" s="20" t="inlineStr">
        <is>
          <t>Latar gradasi kanvas; transisi geser; konfeti deterministik.</t>
        </is>
      </c>
      <c r="Y140" s="20" t="inlineStr">
        <is>
          <t>Angka = ilustrasi.</t>
        </is>
      </c>
      <c r="Z140" s="20">
        <f>IF(OR(E140="Bisa",E140="Berat"),1,0)</f>
        <v/>
      </c>
      <c r="AA140" s="20">
        <f>IF(Z140=1,J140-ROW()/100000,"")</f>
        <v/>
      </c>
      <c r="AB140" s="20">
        <f>B140&amp;"|"&amp;K140</f>
        <v/>
      </c>
    </row>
    <row r="141" ht="78" customHeight="1">
      <c r="A141" s="9" t="inlineStr">
        <is>
          <t>UI04</t>
        </is>
      </c>
      <c r="B141" s="5" t="inlineStr">
        <is>
          <t>Layar &amp; UI</t>
        </is>
      </c>
      <c r="C141" s="11" t="inlineStr">
        <is>
          <t>Screenlife (cerita di layar komputer)</t>
        </is>
      </c>
      <c r="D141" s="5" t="inlineStr">
        <is>
          <t>Seluruh cerita terjadi di desktop: jendela, kursor, notifikasi.</t>
        </is>
      </c>
      <c r="E141" s="22" t="inlineStr">
        <is>
          <t>Sudah</t>
        </is>
      </c>
      <c r="F141" s="9" t="inlineStr">
        <is>
          <t>UI04</t>
        </is>
      </c>
      <c r="G141" s="9" t="n">
        <v>3</v>
      </c>
      <c r="H141" s="9" t="n">
        <v>8</v>
      </c>
      <c r="I141" s="9" t="n">
        <v>8</v>
      </c>
      <c r="J141" s="26">
        <f>IF(E141="Tidak cocok","",ROUND(H141*W_GAYA_WOW+I141*W_GAYA_MEREK+(11-2*G141)*W_GAYA_MUDAH,1))</f>
        <v/>
      </c>
      <c r="K141" s="9">
        <f>IF(Z141=1,COUNTIFS($B$2:$B$254,B141,$AA$2:$AA$254,"&gt;"&amp;AA141)+1,"—")</f>
        <v/>
      </c>
      <c r="L141" s="9" t="n">
        <v>4</v>
      </c>
      <c r="M141" s="11" t="inlineStr">
        <is>
          <t>Pukul 16.58</t>
        </is>
      </c>
      <c r="N141" s="9" t="inlineStr">
        <is>
          <t>Relate</t>
        </is>
      </c>
      <c r="O141" s="5" t="inlineStr">
        <is>
          <t>“Nobody: … Marketing jam 5 sore: ‘blast promo ke semua nomor di database ya!’”</t>
        </is>
      </c>
      <c r="P141" s="5" t="inlineStr">
        <is>
          <t>Jam 16.58 → chat masuk → kursor ragu di tombol Kirim → cek persetujuan per kanal → CTA</t>
        </is>
      </c>
      <c r="Q141" s="24" t="n">
        <v>0.3</v>
      </c>
      <c r="R141" s="27">
        <f>IF(Q141="","",1-Q141)</f>
        <v/>
      </c>
      <c r="S141" s="5">
        <f>IF(Q141="","—",TEXT(1-Q141,"0%")&amp;" edukasi · "&amp;TEXT(Q141,"0%")&amp;" meme")</f>
        <v/>
      </c>
      <c r="T141" s="5" t="inlineStr">
        <is>
          <t>Consent &amp; Cookie</t>
        </is>
      </c>
      <c r="U141" s="5" t="inlineStr">
        <is>
          <t>consent-detail</t>
        </is>
      </c>
      <c r="V141" s="9" t="inlineStr">
        <is>
          <t>20 dtk</t>
        </is>
      </c>
      <c r="W141" s="5" t="inlineStr">
        <is>
          <t>A09</t>
        </is>
      </c>
      <c r="X141" s="5" t="inlineStr">
        <is>
          <t>Desktop tiruan buatan sendiri; jendela div; kursor bergerak dengan lintasan halus.</t>
        </is>
      </c>
      <c r="Y141" s="5" t="inlineStr">
        <is>
          <t>Desktop &amp; aplikasi fiktif; tanpa merek nyata.</t>
        </is>
      </c>
      <c r="Z141" s="5">
        <f>IF(OR(E141="Bisa",E141="Berat"),1,0)</f>
        <v/>
      </c>
      <c r="AA141" s="5">
        <f>IF(Z141=1,J141-ROW()/100000,"")</f>
        <v/>
      </c>
      <c r="AB141" s="5">
        <f>B141&amp;"|"&amp;K141</f>
        <v/>
      </c>
    </row>
    <row r="142" ht="78" customHeight="1">
      <c r="A142" s="19" t="inlineStr">
        <is>
          <t>UI05</t>
        </is>
      </c>
      <c r="B142" s="20" t="inlineStr">
        <is>
          <t>Layar &amp; UI</t>
        </is>
      </c>
      <c r="C142" s="21" t="inlineStr">
        <is>
          <t>Retro OS (dialog error beruntun)</t>
        </is>
      </c>
      <c r="D142" s="20" t="inlineStr">
        <is>
          <t>Jendela abu-abu jadul; dialog error bermunculan berjejer.</t>
        </is>
      </c>
      <c r="E142" s="22" t="inlineStr">
        <is>
          <t>Sudah</t>
        </is>
      </c>
      <c r="F142" s="19" t="inlineStr">
        <is>
          <t>UI05</t>
        </is>
      </c>
      <c r="G142" s="19" t="n">
        <v>3</v>
      </c>
      <c r="H142" s="19" t="n">
        <v>9</v>
      </c>
      <c r="I142" s="19" t="n">
        <v>7</v>
      </c>
      <c r="J142" s="23">
        <f>IF(E142="Tidak cocok","",ROUND(H142*W_GAYA_WOW+I142*W_GAYA_MEREK+(11-2*G142)*W_GAYA_MUDAH,1))</f>
        <v/>
      </c>
      <c r="K142" s="19">
        <f>IF(Z142=1,COUNTIFS($B$2:$B$254,B142,$AA$2:$AA$254,"&gt;"&amp;AA142)+1,"—")</f>
        <v/>
      </c>
      <c r="L142" s="19" t="n">
        <v>4</v>
      </c>
      <c r="M142" s="21" t="inlineStr">
        <is>
          <t>FAAAH</t>
        </is>
      </c>
      <c r="N142" s="19" t="inlineStr">
        <is>
          <t>Relate</t>
        </is>
      </c>
      <c r="O142" s="20" t="inlineStr">
        <is>
          <t>“POV: auditor minta RoPA. Kamu buka RoPA_final_revisi3_FIX.xlsx.”</t>
        </is>
      </c>
      <c r="P142" s="20" t="inlineStr">
        <is>
          <t>File dibuka → “dikunci oleh pengguna lain” → not responding → dialog beruntun → register RoPA rapi → CTA</t>
        </is>
      </c>
      <c r="Q142" s="24" t="n">
        <v>0.7</v>
      </c>
      <c r="R142" s="25">
        <f>IF(Q142="","",1-Q142)</f>
        <v/>
      </c>
      <c r="S142" s="20">
        <f>IF(Q142="","—",TEXT(1-Q142,"0%")&amp;" edukasi · "&amp;TEXT(Q142,"0%")&amp;" meme")</f>
        <v/>
      </c>
      <c r="T142" s="20" t="inlineStr">
        <is>
          <t>RoPA</t>
        </is>
      </c>
      <c r="U142" s="20" t="inlineStr">
        <is>
          <t>ropa-list-baru</t>
        </is>
      </c>
      <c r="V142" s="19" t="inlineStr">
        <is>
          <t>20 dtk</t>
        </is>
      </c>
      <c r="W142" s="20" t="inlineStr">
        <is>
          <t>A01</t>
        </is>
      </c>
      <c r="X142" s="20" t="inlineStr">
        <is>
          <t>Jendela bergaya lama buatan sendiri; dialog beranak-pinak dengan offset.</t>
        </is>
      </c>
      <c r="Y142" s="20" t="inlineStr">
        <is>
          <t>Tampilan OS buatan sendiri; suara “FAAAH” direkam tim/TTS.</t>
        </is>
      </c>
      <c r="Z142" s="20">
        <f>IF(OR(E142="Bisa",E142="Berat"),1,0)</f>
        <v/>
      </c>
      <c r="AA142" s="20">
        <f>IF(Z142=1,J142-ROW()/100000,"")</f>
        <v/>
      </c>
      <c r="AB142" s="20">
        <f>B142&amp;"|"&amp;K142</f>
        <v/>
      </c>
    </row>
    <row r="143" ht="78" customHeight="1">
      <c r="A143" s="9" t="inlineStr">
        <is>
          <t>UI06</t>
        </is>
      </c>
      <c r="B143" s="5" t="inlineStr">
        <is>
          <t>Layar &amp; UI</t>
        </is>
      </c>
      <c r="C143" s="11" t="inlineStr">
        <is>
          <t>Lock screen (notifikasi)</t>
        </is>
      </c>
      <c r="D143" s="5" t="inlineStr">
        <is>
          <t>Layar kunci ponsel; notifikasi menumpuk sepanjang hari.</t>
        </is>
      </c>
      <c r="E143" s="22" t="inlineStr">
        <is>
          <t>Sudah</t>
        </is>
      </c>
      <c r="F143" s="9" t="inlineStr">
        <is>
          <t>UI06</t>
        </is>
      </c>
      <c r="G143" s="9" t="n">
        <v>2</v>
      </c>
      <c r="H143" s="9" t="n">
        <v>7</v>
      </c>
      <c r="I143" s="9" t="n">
        <v>8</v>
      </c>
      <c r="J143" s="26">
        <f>IF(E143="Tidak cocok","",ROUND(H143*W_GAYA_WOW+I143*W_GAYA_MEREK+(11-2*G143)*W_GAYA_MUDAH,1))</f>
        <v/>
      </c>
      <c r="K143" s="9">
        <f>IF(Z143=1,COUNTIFS($B$2:$B$254,B143,$AA$2:$AA$254,"&gt;"&amp;AA143)+1,"—")</f>
        <v/>
      </c>
      <c r="L143" s="9" t="n">
        <v>4</v>
      </c>
      <c r="M143" s="11" t="inlineStr">
        <is>
          <t>Sehari dalam Notifikasi</t>
        </is>
      </c>
      <c r="N143" s="9" t="inlineStr">
        <is>
          <t>Relate</t>
        </is>
      </c>
      <c r="O143" s="5" t="inlineStr">
        <is>
          <t>“07.00: ‘Pagi, bisa minta RoPA terbaru?’”</t>
        </is>
      </c>
      <c r="P143" s="5" t="inlineStr">
        <is>
          <t>Notifikasi 07.00–23.00 menumpuk → 03.00: dugaan insiden → satu notifikasi rapi: antrean kerja → CTA</t>
        </is>
      </c>
      <c r="Q143" s="24" t="n">
        <v>0.3</v>
      </c>
      <c r="R143" s="27">
        <f>IF(Q143="","",1-Q143)</f>
        <v/>
      </c>
      <c r="S143" s="5">
        <f>IF(Q143="","—",TEXT(1-Q143,"0%")&amp;" edukasi · "&amp;TEXT(Q143,"0%")&amp;" meme")</f>
        <v/>
      </c>
      <c r="T143" s="5" t="inlineStr">
        <is>
          <t>Dukungan PPDP, Insiden</t>
        </is>
      </c>
      <c r="U143" s="5" t="inlineStr">
        <is>
          <t>—</t>
        </is>
      </c>
      <c r="V143" s="9" t="inlineStr">
        <is>
          <t>20 dtk</t>
        </is>
      </c>
      <c r="W143" s="5" t="inlineStr">
        <is>
          <t>A21 (varian ringan)</t>
        </is>
      </c>
      <c r="X143" s="5" t="inlineStr">
        <is>
          <t>Jam besar berganti; kartu notifikasi masuk dari atas.</t>
        </is>
      </c>
      <c r="Y143" s="5" t="inlineStr"/>
      <c r="Z143" s="5">
        <f>IF(OR(E143="Bisa",E143="Berat"),1,0)</f>
        <v/>
      </c>
      <c r="AA143" s="5">
        <f>IF(Z143=1,J143-ROW()/100000,"")</f>
        <v/>
      </c>
      <c r="AB143" s="5">
        <f>B143&amp;"|"&amp;K143</f>
        <v/>
      </c>
    </row>
    <row r="144" ht="78" customHeight="1">
      <c r="A144" s="19" t="inlineStr">
        <is>
          <t>UI07</t>
        </is>
      </c>
      <c r="B144" s="20" t="inlineStr">
        <is>
          <t>Layar &amp; UI</t>
        </is>
      </c>
      <c r="C144" s="21" t="inlineStr">
        <is>
          <t>Kotak pencarian (saran otomatis)</t>
        </is>
      </c>
      <c r="D144" s="20" t="inlineStr">
        <is>
          <t>Kotak pencarian; ketikan dilengkapi saran yang makin jujur.</t>
        </is>
      </c>
      <c r="E144" s="28" t="inlineStr">
        <is>
          <t>Bisa</t>
        </is>
      </c>
      <c r="F144" s="19" t="inlineStr"/>
      <c r="G144" s="19" t="n">
        <v>1</v>
      </c>
      <c r="H144" s="19" t="n">
        <v>8</v>
      </c>
      <c r="I144" s="19" t="n">
        <v>8</v>
      </c>
      <c r="J144" s="23">
        <f>IF(E144="Tidak cocok","",ROUND(H144*W_GAYA_WOW+I144*W_GAYA_MEREK+(11-2*G144)*W_GAYA_MUDAH,1))</f>
        <v/>
      </c>
      <c r="K144" s="19">
        <f>IF(Z144=1,COUNTIFS($B$2:$B$254,B144,$AA$2:$AA$254,"&gt;"&amp;AA144)+1,"—")</f>
        <v/>
      </c>
      <c r="L144" s="19" t="n">
        <v>4</v>
      </c>
      <c r="M144" s="21" t="inlineStr">
        <is>
          <t>Saran Pencarian</t>
        </is>
      </c>
      <c r="N144" s="19" t="inlineStr">
        <is>
          <t>Relate</t>
        </is>
      </c>
      <c r="O144" s="20" t="inlineStr">
        <is>
          <t>“cara menjawab auditor kalau… ”</t>
        </is>
      </c>
      <c r="P144" s="20" t="inlineStr">
        <is>
          <t>Saran: “…RoPA belum ada”, “…buktinya di laptop orang resign” → tanya Priva → CTA</t>
        </is>
      </c>
      <c r="Q144" s="24" t="n">
        <v>0.3</v>
      </c>
      <c r="R144" s="25">
        <f>IF(Q144="","",1-Q144)</f>
        <v/>
      </c>
      <c r="S144" s="20">
        <f>IF(Q144="","—",TEXT(1-Q144,"0%")&amp;" edukasi · "&amp;TEXT(Q144,"0%")&amp;" meme")</f>
        <v/>
      </c>
      <c r="T144" s="20" t="inlineStr">
        <is>
          <t>Priva (asisten AI), GAP</t>
        </is>
      </c>
      <c r="U144" s="20" t="inlineStr">
        <is>
          <t>ai-agent-home</t>
        </is>
      </c>
      <c r="V144" s="19" t="inlineStr">
        <is>
          <t>15 dtk</t>
        </is>
      </c>
      <c r="W144" s="20" t="inlineStr">
        <is>
          <t>Baru</t>
        </is>
      </c>
      <c r="X144" s="20" t="inlineStr">
        <is>
          <t>Ketik per karakter; daftar saran berganti tiap huruf.</t>
        </is>
      </c>
      <c r="Y144" s="20" t="inlineStr">
        <is>
          <t>Mesin pencari fiktif; tanpa logo.</t>
        </is>
      </c>
      <c r="Z144" s="20">
        <f>IF(OR(E144="Bisa",E144="Berat"),1,0)</f>
        <v/>
      </c>
      <c r="AA144" s="20">
        <f>IF(Z144=1,J144-ROW()/100000,"")</f>
        <v/>
      </c>
      <c r="AB144" s="20">
        <f>B144&amp;"|"&amp;K144</f>
        <v/>
      </c>
    </row>
    <row r="145" ht="78" customHeight="1">
      <c r="A145" s="9" t="inlineStr">
        <is>
          <t>UI08</t>
        </is>
      </c>
      <c r="B145" s="5" t="inlineStr">
        <is>
          <t>Layar &amp; UI</t>
        </is>
      </c>
      <c r="C145" s="11" t="inlineStr">
        <is>
          <t>Spreadsheet hidup</t>
        </is>
      </c>
      <c r="D145" s="5" t="inlineStr">
        <is>
          <t>Sel tabel menjadi panggung: sel menyala, bergeser, dan berbaris.</t>
        </is>
      </c>
      <c r="E145" s="28" t="inlineStr">
        <is>
          <t>Bisa</t>
        </is>
      </c>
      <c r="F145" s="9" t="inlineStr"/>
      <c r="G145" s="9" t="n">
        <v>2</v>
      </c>
      <c r="H145" s="9" t="n">
        <v>8</v>
      </c>
      <c r="I145" s="9" t="n">
        <v>8</v>
      </c>
      <c r="J145" s="26">
        <f>IF(E145="Tidak cocok","",ROUND(H145*W_GAYA_WOW+I145*W_GAYA_MEREK+(11-2*G145)*W_GAYA_MUDAH,1))</f>
        <v/>
      </c>
      <c r="K145" s="9">
        <f>IF(Z145=1,COUNTIFS($B$2:$B$254,B145,$AA$2:$AA$254,"&gt;"&amp;AA145)+1,"—")</f>
        <v/>
      </c>
      <c r="L145" s="9" t="n">
        <v>4</v>
      </c>
      <c r="M145" s="11" t="inlineStr">
        <is>
          <t>Tab ke-14</t>
        </is>
      </c>
      <c r="N145" s="9" t="inlineStr">
        <is>
          <t>Relate</t>
        </is>
      </c>
      <c r="O145" s="5" t="inlineStr">
        <is>
          <t>“Spreadsheet ini punya 14 tab. Yang benar tab mana?”</t>
        </is>
      </c>
      <c r="P145" s="5" t="inlineStr">
        <is>
          <t>Tab berganti cepat → #REF! menyebar → sel-sel berbaris jadi register → CTA</t>
        </is>
      </c>
      <c r="Q145" s="24" t="n">
        <v>0.3</v>
      </c>
      <c r="R145" s="27">
        <f>IF(Q145="","",1-Q145)</f>
        <v/>
      </c>
      <c r="S145" s="5">
        <f>IF(Q145="","—",TEXT(1-Q145,"0%")&amp;" edukasi · "&amp;TEXT(Q145,"0%")&amp;" meme")</f>
        <v/>
      </c>
      <c r="T145" s="5" t="inlineStr">
        <is>
          <t>RoPA</t>
        </is>
      </c>
      <c r="U145" s="5" t="inlineStr">
        <is>
          <t>ropa-list-baru</t>
        </is>
      </c>
      <c r="V145" s="9" t="inlineStr">
        <is>
          <t>15 dtk</t>
        </is>
      </c>
      <c r="W145" s="5" t="inlineStr">
        <is>
          <t>M04</t>
        </is>
      </c>
      <c r="X145" s="5" t="inlineStr">
        <is>
          <t>Grid sel; sel berwarna berpindah; rumus muncul di bilah atas.</t>
        </is>
      </c>
      <c r="Y145" s="5" t="inlineStr">
        <is>
          <t>Tanpa antarmuka/logo aplikasi spreadsheet bermerek.</t>
        </is>
      </c>
      <c r="Z145" s="5">
        <f>IF(OR(E145="Bisa",E145="Berat"),1,0)</f>
        <v/>
      </c>
      <c r="AA145" s="5">
        <f>IF(Z145=1,J145-ROW()/100000,"")</f>
        <v/>
      </c>
      <c r="AB145" s="5">
        <f>B145&amp;"|"&amp;K145</f>
        <v/>
      </c>
    </row>
    <row r="146" ht="78" customHeight="1">
      <c r="A146" s="19" t="inlineStr">
        <is>
          <t>UI09</t>
        </is>
      </c>
      <c r="B146" s="20" t="inlineStr">
        <is>
          <t>Layar &amp; UI</t>
        </is>
      </c>
      <c r="C146" s="21" t="inlineStr">
        <is>
          <t>Mockup perangkat 3D</t>
        </is>
      </c>
      <c r="D146" s="20" t="inlineStr">
        <is>
          <t>Laptop atau ponsel melayang berputar menampilkan layar asli.</t>
        </is>
      </c>
      <c r="E146" s="28" t="inlineStr">
        <is>
          <t>Bisa</t>
        </is>
      </c>
      <c r="F146" s="19" t="inlineStr"/>
      <c r="G146" s="19" t="n">
        <v>3</v>
      </c>
      <c r="H146" s="19" t="n">
        <v>7</v>
      </c>
      <c r="I146" s="19" t="n">
        <v>9</v>
      </c>
      <c r="J146" s="23">
        <f>IF(E146="Tidak cocok","",ROUND(H146*W_GAYA_WOW+I146*W_GAYA_MEREK+(11-2*G146)*W_GAYA_MUDAH,1))</f>
        <v/>
      </c>
      <c r="K146" s="19">
        <f>IF(Z146=1,COUNTIFS($B$2:$B$254,B146,$AA$2:$AA$254,"&gt;"&amp;AA146)+1,"—")</f>
        <v/>
      </c>
      <c r="L146" s="19" t="n">
        <v>4</v>
      </c>
      <c r="M146" s="21" t="inlineStr">
        <is>
          <t>Di Laptop Direksi</t>
        </is>
      </c>
      <c r="N146" s="19" t="inlineStr">
        <is>
          <t>Logika dipatahkan</t>
        </is>
      </c>
      <c r="O146" s="20" t="inlineStr">
        <is>
          <t>“Yang dibuka direksi bukan laporan 482 halaman. Ini.”</t>
        </is>
      </c>
      <c r="P146" s="20" t="inlineStr">
        <is>
          <t>Laptop berputar terbuka → dasbor asli → ponsel: postur privasi → CTA</t>
        </is>
      </c>
      <c r="Q146" s="24" t="n">
        <v>0.2</v>
      </c>
      <c r="R146" s="25">
        <f>IF(Q146="","",1-Q146)</f>
        <v/>
      </c>
      <c r="S146" s="20">
        <f>IF(Q146="","—",TEXT(1-Q146,"0%")&amp;" edukasi · "&amp;TEXT(Q146,"0%")&amp;" meme")</f>
        <v/>
      </c>
      <c r="T146" s="20" t="inlineStr">
        <is>
          <t>Dasbor kepatuhan</t>
        </is>
      </c>
      <c r="U146" s="20" t="inlineStr">
        <is>
          <t>dashboard, postur-privasi</t>
        </is>
      </c>
      <c r="V146" s="19" t="inlineStr">
        <is>
          <t>15 dtk</t>
        </is>
      </c>
      <c r="W146" s="20" t="inlineStr">
        <is>
          <t>P32</t>
        </is>
      </c>
      <c r="X146" s="20" t="inlineStr">
        <is>
          <t>Bingkai perangkat CSS 3D; screenshot di layar; pantulan halus.</t>
        </is>
      </c>
      <c r="Y146" s="20" t="inlineStr"/>
      <c r="Z146" s="20">
        <f>IF(OR(E146="Bisa",E146="Berat"),1,0)</f>
        <v/>
      </c>
      <c r="AA146" s="20">
        <f>IF(Z146=1,J146-ROW()/100000,"")</f>
        <v/>
      </c>
      <c r="AB146" s="20">
        <f>B146&amp;"|"&amp;K146</f>
        <v/>
      </c>
    </row>
    <row r="147" ht="78" customHeight="1">
      <c r="A147" s="9" t="inlineStr">
        <is>
          <t>UI10</t>
        </is>
      </c>
      <c r="B147" s="5" t="inlineStr">
        <is>
          <t>Layar &amp; UI</t>
        </is>
      </c>
      <c r="C147" s="11" t="inlineStr">
        <is>
          <t>Kotak masuk email</t>
        </is>
      </c>
      <c r="D147" s="5" t="inlineStr">
        <is>
          <t>Daftar email; satu subjek membuat semua berhenti.</t>
        </is>
      </c>
      <c r="E147" s="22" t="inlineStr">
        <is>
          <t>Sudah</t>
        </is>
      </c>
      <c r="F147" s="9" t="inlineStr">
        <is>
          <t>UI10</t>
        </is>
      </c>
      <c r="G147" s="9" t="n">
        <v>2</v>
      </c>
      <c r="H147" s="9" t="n">
        <v>7</v>
      </c>
      <c r="I147" s="9" t="n">
        <v>8</v>
      </c>
      <c r="J147" s="26">
        <f>IF(E147="Tidak cocok","",ROUND(H147*W_GAYA_WOW+I147*W_GAYA_MEREK+(11-2*G147)*W_GAYA_MUDAH,1))</f>
        <v/>
      </c>
      <c r="K147" s="9">
        <f>IF(Z147=1,COUNTIFS($B$2:$B$254,B147,$AA$2:$AA$254,"&gt;"&amp;AA147)+1,"—")</f>
        <v/>
      </c>
      <c r="L147" s="9" t="n">
        <v>4</v>
      </c>
      <c r="M147" s="11" t="inlineStr">
        <is>
          <t>Senin, 08.02</t>
        </is>
      </c>
      <c r="N147" s="9" t="inlineStr">
        <is>
          <t>Relate</t>
        </is>
      </c>
      <c r="O147" s="5" t="inlineStr">
        <is>
          <t>“Email paling ditakuti customer service: ‘Tolong hapus semua data saya.’”</t>
        </is>
      </c>
      <c r="P147" s="5" t="inlineStr">
        <is>
          <t>Email masuk → diteruskan ke 4 orang → tenggat 72 jam berjalan → formulir &amp; alur DSR → CTA</t>
        </is>
      </c>
      <c r="Q147" s="24" t="n">
        <v>0.3</v>
      </c>
      <c r="R147" s="27">
        <f>IF(Q147="","",1-Q147)</f>
        <v/>
      </c>
      <c r="S147" s="5">
        <f>IF(Q147="","—",TEXT(1-Q147,"0%")&amp;" edukasi · "&amp;TEXT(Q147,"0%")&amp;" meme")</f>
        <v/>
      </c>
      <c r="T147" s="5" t="inlineStr">
        <is>
          <t>DSR</t>
        </is>
      </c>
      <c r="U147" s="5" t="inlineStr">
        <is>
          <t>dsr-form, dsr-detail</t>
        </is>
      </c>
      <c r="V147" s="9" t="inlineStr">
        <is>
          <t>15 dtk</t>
        </is>
      </c>
      <c r="W147" s="5" t="inlineStr">
        <is>
          <t>M07 / P23</t>
        </is>
      </c>
      <c r="X147" s="5" t="inlineStr">
        <is>
          <t>Baris email masuk dari atas; satu baris disorot &amp; membesar.</t>
        </is>
      </c>
      <c r="Y147" s="5" t="inlineStr">
        <is>
          <t>Aplikasi email fiktif.</t>
        </is>
      </c>
      <c r="Z147" s="5">
        <f>IF(OR(E147="Bisa",E147="Berat"),1,0)</f>
        <v/>
      </c>
      <c r="AA147" s="5">
        <f>IF(Z147=1,J147-ROW()/100000,"")</f>
        <v/>
      </c>
      <c r="AB147" s="5">
        <f>B147&amp;"|"&amp;K147</f>
        <v/>
      </c>
    </row>
    <row r="148" ht="78" customHeight="1">
      <c r="A148" s="19" t="inlineStr">
        <is>
          <t>UI11</t>
        </is>
      </c>
      <c r="B148" s="20" t="inlineStr">
        <is>
          <t>Layar &amp; UI</t>
        </is>
      </c>
      <c r="C148" s="21" t="inlineStr">
        <is>
          <t>47 tab browser</t>
        </is>
      </c>
      <c r="D148" s="20" t="inlineStr">
        <is>
          <t>Deretan tab browser yang terus bertambah sampai judulnya tak terbaca.</t>
        </is>
      </c>
      <c r="E148" s="28" t="inlineStr">
        <is>
          <t>Bisa</t>
        </is>
      </c>
      <c r="F148" s="19" t="inlineStr"/>
      <c r="G148" s="19" t="n">
        <v>2</v>
      </c>
      <c r="H148" s="19" t="n">
        <v>7</v>
      </c>
      <c r="I148" s="19" t="n">
        <v>7</v>
      </c>
      <c r="J148" s="23">
        <f>IF(E148="Tidak cocok","",ROUND(H148*W_GAYA_WOW+I148*W_GAYA_MEREK+(11-2*G148)*W_GAYA_MUDAH,1))</f>
        <v/>
      </c>
      <c r="K148" s="19">
        <f>IF(Z148=1,COUNTIFS($B$2:$B$254,B148,$AA$2:$AA$254,"&gt;"&amp;AA148)+1,"—")</f>
        <v/>
      </c>
      <c r="L148" s="19" t="n">
        <v>4</v>
      </c>
      <c r="M148" s="21" t="inlineStr">
        <is>
          <t>47 Tab</t>
        </is>
      </c>
      <c r="N148" s="19" t="inlineStr">
        <is>
          <t>Relate</t>
        </is>
      </c>
      <c r="O148" s="20" t="inlineStr">
        <is>
          <t>“DPO dan 47 tab yang tidak boleh ditutup.”</t>
        </is>
      </c>
      <c r="P148" s="20" t="inlineStr">
        <is>
          <t>Tab bertambah → semua ditutup jadi satu tab: Nexus → CTA</t>
        </is>
      </c>
      <c r="Q148" s="24" t="n">
        <v>0.5</v>
      </c>
      <c r="R148" s="25">
        <f>IF(Q148="","",1-Q148)</f>
        <v/>
      </c>
      <c r="S148" s="20">
        <f>IF(Q148="","—",TEXT(1-Q148,"0%")&amp;" edukasi · "&amp;TEXT(Q148,"0%")&amp;" meme")</f>
        <v/>
      </c>
      <c r="T148" s="20" t="inlineStr">
        <is>
          <t>Platform</t>
        </is>
      </c>
      <c r="U148" s="20" t="inlineStr">
        <is>
          <t>dashboard</t>
        </is>
      </c>
      <c r="V148" s="19" t="inlineStr">
        <is>
          <t>10 dtk</t>
        </is>
      </c>
      <c r="W148" s="20" t="inlineStr">
        <is>
          <t>A13 (potongan)</t>
        </is>
      </c>
      <c r="X148" s="20" t="inlineStr">
        <is>
          <t>Tab div mengecil saat bertambah; satu tab berkedip.</t>
        </is>
      </c>
      <c r="Y148" s="20" t="inlineStr"/>
      <c r="Z148" s="20">
        <f>IF(OR(E148="Bisa",E148="Berat"),1,0)</f>
        <v/>
      </c>
      <c r="AA148" s="20">
        <f>IF(Z148=1,J148-ROW()/100000,"")</f>
        <v/>
      </c>
      <c r="AB148" s="20">
        <f>B148&amp;"|"&amp;K148</f>
        <v/>
      </c>
    </row>
    <row r="149" ht="78" customHeight="1">
      <c r="A149" s="9" t="inlineStr">
        <is>
          <t>UI12</t>
        </is>
      </c>
      <c r="B149" s="5" t="inlineStr">
        <is>
          <t>Layar &amp; UI</t>
        </is>
      </c>
      <c r="C149" s="11" t="inlineStr">
        <is>
          <t>Pohon folder</t>
        </is>
      </c>
      <c r="D149" s="5" t="inlineStr">
        <is>
          <t>Folder di dalam folder di dalam folder; nama makin putus asa.</t>
        </is>
      </c>
      <c r="E149" s="22" t="inlineStr">
        <is>
          <t>Sudah</t>
        </is>
      </c>
      <c r="F149" s="9" t="inlineStr">
        <is>
          <t>UI12</t>
        </is>
      </c>
      <c r="G149" s="9" t="n">
        <v>2</v>
      </c>
      <c r="H149" s="9" t="n">
        <v>7</v>
      </c>
      <c r="I149" s="9" t="n">
        <v>8</v>
      </c>
      <c r="J149" s="26">
        <f>IF(E149="Tidak cocok","",ROUND(H149*W_GAYA_WOW+I149*W_GAYA_MEREK+(11-2*G149)*W_GAYA_MUDAH,1))</f>
        <v/>
      </c>
      <c r="K149" s="9">
        <f>IF(Z149=1,COUNTIFS($B$2:$B$254,B149,$AA$2:$AA$254,"&gt;"&amp;AA149)+1,"—")</f>
        <v/>
      </c>
      <c r="L149" s="9" t="n">
        <v>4</v>
      </c>
      <c r="M149" s="11" t="inlineStr">
        <is>
          <t>Baru (2)</t>
        </is>
      </c>
      <c r="N149" s="9" t="inlineStr">
        <is>
          <t>Relate</t>
        </is>
      </c>
      <c r="O149" s="5" t="inlineStr">
        <is>
          <t>“Folder ‘Baru’ di dalam ‘Baru (2)’ di dalam ‘FIX banget’.”</t>
        </is>
      </c>
      <c r="P149" s="5" t="inlineStr">
        <is>
          <t>Folder dibuka bertingkat → dokumen lama ditemukan → diimpor dengan AI → CTA</t>
        </is>
      </c>
      <c r="Q149" s="24" t="n">
        <v>0.3</v>
      </c>
      <c r="R149" s="27">
        <f>IF(Q149="","",1-Q149)</f>
        <v/>
      </c>
      <c r="S149" s="5">
        <f>IF(Q149="","—",TEXT(1-Q149,"0%")&amp;" edukasi · "&amp;TEXT(Q149,"0%")&amp;" meme")</f>
        <v/>
      </c>
      <c r="T149" s="5" t="inlineStr">
        <is>
          <t>Document Import (AI), RoPA</t>
        </is>
      </c>
      <c r="U149" s="5" t="inlineStr">
        <is>
          <t>—</t>
        </is>
      </c>
      <c r="V149" s="9" t="inlineStr">
        <is>
          <t>15 dtk</t>
        </is>
      </c>
      <c r="W149" s="5" t="inlineStr">
        <is>
          <t>M18</t>
        </is>
      </c>
      <c r="X149" s="5" t="inlineStr">
        <is>
          <t>Pohon folder membuka bertingkat; kursor mengejar.</t>
        </is>
      </c>
      <c r="Y149" s="5" t="inlineStr"/>
      <c r="Z149" s="5">
        <f>IF(OR(E149="Bisa",E149="Berat"),1,0)</f>
        <v/>
      </c>
      <c r="AA149" s="5">
        <f>IF(Z149=1,J149-ROW()/100000,"")</f>
        <v/>
      </c>
      <c r="AB149" s="5">
        <f>B149&amp;"|"&amp;K149</f>
        <v/>
      </c>
    </row>
    <row r="150" ht="78" customHeight="1">
      <c r="A150" s="19" t="inlineStr">
        <is>
          <t>UI13</t>
        </is>
      </c>
      <c r="B150" s="20" t="inlineStr">
        <is>
          <t>Layar &amp; UI</t>
        </is>
      </c>
      <c r="C150" s="21" t="inlineStr">
        <is>
          <t>Papan kanban</t>
        </is>
      </c>
      <c r="D150" s="20" t="inlineStr">
        <is>
          <t>Kartu tugas berpindah kolom: Menunggu, Dikerjakan, Selesai.</t>
        </is>
      </c>
      <c r="E150" s="28" t="inlineStr">
        <is>
          <t>Bisa</t>
        </is>
      </c>
      <c r="F150" s="19" t="inlineStr"/>
      <c r="G150" s="19" t="n">
        <v>2</v>
      </c>
      <c r="H150" s="19" t="n">
        <v>6</v>
      </c>
      <c r="I150" s="19" t="n">
        <v>9</v>
      </c>
      <c r="J150" s="23">
        <f>IF(E150="Tidak cocok","",ROUND(H150*W_GAYA_WOW+I150*W_GAYA_MEREK+(11-2*G150)*W_GAYA_MUDAH,1))</f>
        <v/>
      </c>
      <c r="K150" s="19">
        <f>IF(Z150=1,COUNTIFS($B$2:$B$254,B150,$AA$2:$AA$254,"&gt;"&amp;AA150)+1,"—")</f>
        <v/>
      </c>
      <c r="L150" s="19" t="n">
        <v>4</v>
      </c>
      <c r="M150" s="21" t="inlineStr">
        <is>
          <t>Tiga Minggu di Kolom Menunggu</t>
        </is>
      </c>
      <c r="N150" s="19" t="inlineStr">
        <is>
          <t>Relate</t>
        </is>
      </c>
      <c r="O150" s="20" t="inlineStr">
        <is>
          <t>“Kartu ini sudah tiga minggu di kolom ‘Menunggu’.”</t>
        </is>
      </c>
      <c r="P150" s="20" t="inlineStr">
        <is>
          <t>Kartu berdebu → antrean pekerjaan yang menunggu tindakan → bergerak ke Selesai → CTA</t>
        </is>
      </c>
      <c r="Q150" s="24" t="n">
        <v>0.2</v>
      </c>
      <c r="R150" s="25">
        <f>IF(Q150="","",1-Q150)</f>
        <v/>
      </c>
      <c r="S150" s="20">
        <f>IF(Q150="","—",TEXT(1-Q150,"0%")&amp;" edukasi · "&amp;TEXT(Q150,"0%")&amp;" meme")</f>
        <v/>
      </c>
      <c r="T150" s="20" t="inlineStr">
        <is>
          <t>Dukungan PPDP (antrean kerja)</t>
        </is>
      </c>
      <c r="U150" s="20" t="inlineStr">
        <is>
          <t>dashboard</t>
        </is>
      </c>
      <c r="V150" s="19" t="inlineStr">
        <is>
          <t>15 dtk</t>
        </is>
      </c>
      <c r="W150" s="20" t="inlineStr">
        <is>
          <t>Baru</t>
        </is>
      </c>
      <c r="X150" s="20" t="inlineStr">
        <is>
          <t>Kartu drag dengan lintasan; penghitung per kolom.</t>
        </is>
      </c>
      <c r="Y150" s="20" t="inlineStr"/>
      <c r="Z150" s="20">
        <f>IF(OR(E150="Bisa",E150="Berat"),1,0)</f>
        <v/>
      </c>
      <c r="AA150" s="20">
        <f>IF(Z150=1,J150-ROW()/100000,"")</f>
        <v/>
      </c>
      <c r="AB150" s="20">
        <f>B150&amp;"|"&amp;K150</f>
        <v/>
      </c>
    </row>
    <row r="151" ht="78" customHeight="1">
      <c r="A151" s="9" t="inlineStr">
        <is>
          <t>UI14</t>
        </is>
      </c>
      <c r="B151" s="5" t="inlineStr">
        <is>
          <t>Layar &amp; UI</t>
        </is>
      </c>
      <c r="C151" s="11" t="inlineStr">
        <is>
          <t>Wizard formulir</t>
        </is>
      </c>
      <c r="D151" s="5" t="inlineStr">
        <is>
          <t>Formulir bertahap; bilah langkah terisi, pilihan menyala.</t>
        </is>
      </c>
      <c r="E151" s="28" t="inlineStr">
        <is>
          <t>Bisa</t>
        </is>
      </c>
      <c r="F151" s="9" t="inlineStr"/>
      <c r="G151" s="9" t="n">
        <v>2</v>
      </c>
      <c r="H151" s="9" t="n">
        <v>6</v>
      </c>
      <c r="I151" s="9" t="n">
        <v>9</v>
      </c>
      <c r="J151" s="26">
        <f>IF(E151="Tidak cocok","",ROUND(H151*W_GAYA_WOW+I151*W_GAYA_MEREK+(11-2*G151)*W_GAYA_MUDAH,1))</f>
        <v/>
      </c>
      <c r="K151" s="9">
        <f>IF(Z151=1,COUNTIFS($B$2:$B$254,B151,$AA$2:$AA$254,"&gt;"&amp;AA151)+1,"—")</f>
        <v/>
      </c>
      <c r="L151" s="9" t="n">
        <v>4</v>
      </c>
      <c r="M151" s="11" t="inlineStr">
        <is>
          <t>Langkah 4 dari 7</t>
        </is>
      </c>
      <c r="N151" s="9" t="inlineStr">
        <is>
          <t>Anomali</t>
        </is>
      </c>
      <c r="O151" s="5" t="inlineStr">
        <is>
          <t>“Satu centang di langkah ini mengubah segalanya.”</t>
        </is>
      </c>
      <c r="P151" s="5" t="inlineStr">
        <is>
          <t>Wizard RoPA → centang data spesifik → risiko TINGGI otomatis → draf DPIA → CTA</t>
        </is>
      </c>
      <c r="Q151" s="24" t="n">
        <v>0.2</v>
      </c>
      <c r="R151" s="27">
        <f>IF(Q151="","",1-Q151)</f>
        <v/>
      </c>
      <c r="S151" s="5">
        <f>IF(Q151="","—",TEXT(1-Q151,"0%")&amp;" edukasi · "&amp;TEXT(Q151,"0%")&amp;" meme")</f>
        <v/>
      </c>
      <c r="T151" s="5" t="inlineStr">
        <is>
          <t>RoPA → DPIA</t>
        </is>
      </c>
      <c r="U151" s="5" t="inlineStr">
        <is>
          <t>ropa-data-spesifik</t>
        </is>
      </c>
      <c r="V151" s="9" t="inlineStr">
        <is>
          <t>15 dtk</t>
        </is>
      </c>
      <c r="W151" s="5" t="inlineStr">
        <is>
          <t>A11 / A45</t>
        </is>
      </c>
      <c r="X151" s="5" t="inlineStr">
        <is>
          <t>Langkah aktif berpindah; centang digambar; label risiko berubah.</t>
        </is>
      </c>
      <c r="Y151" s="5" t="inlineStr"/>
      <c r="Z151" s="5">
        <f>IF(OR(E151="Bisa",E151="Berat"),1,0)</f>
        <v/>
      </c>
      <c r="AA151" s="5">
        <f>IF(Z151=1,J151-ROW()/100000,"")</f>
        <v/>
      </c>
      <c r="AB151" s="5">
        <f>B151&amp;"|"&amp;K151</f>
        <v/>
      </c>
    </row>
    <row r="152" ht="78" customHeight="1">
      <c r="A152" s="19" t="inlineStr">
        <is>
          <t>UI15</t>
        </is>
      </c>
      <c r="B152" s="20" t="inlineStr">
        <is>
          <t>Layar &amp; UI</t>
        </is>
      </c>
      <c r="C152" s="21" t="inlineStr">
        <is>
          <t>Parade banner cookie</t>
        </is>
      </c>
      <c r="D152" s="20" t="inlineStr">
        <is>
          <t>Banner cookie bertumpuk menutupi layar; tombol “Terima semua” di mana-mana.</t>
        </is>
      </c>
      <c r="E152" s="28" t="inlineStr">
        <is>
          <t>Bisa</t>
        </is>
      </c>
      <c r="F152" s="19" t="inlineStr"/>
      <c r="G152" s="19" t="n">
        <v>2</v>
      </c>
      <c r="H152" s="19" t="n">
        <v>8</v>
      </c>
      <c r="I152" s="19" t="n">
        <v>8</v>
      </c>
      <c r="J152" s="23">
        <f>IF(E152="Tidak cocok","",ROUND(H152*W_GAYA_WOW+I152*W_GAYA_MEREK+(11-2*G152)*W_GAYA_MUDAH,1))</f>
        <v/>
      </c>
      <c r="K152" s="19">
        <f>IF(Z152=1,COUNTIFS($B$2:$B$254,B152,$AA$2:$AA$254,"&gt;"&amp;AA152)+1,"—")</f>
        <v/>
      </c>
      <c r="L152" s="19" t="n">
        <v>4</v>
      </c>
      <c r="M152" s="21" t="inlineStr">
        <is>
          <t>Terima Semua?</t>
        </is>
      </c>
      <c r="N152" s="19" t="inlineStr">
        <is>
          <t>Relate</t>
        </is>
      </c>
      <c r="O152" s="20" t="inlineStr">
        <is>
          <t>“Kamu menutup enam banner cookie hari ini. Ingat isinya?”</t>
        </is>
      </c>
      <c r="P152" s="20" t="inlineStr">
        <is>
          <t>Banner menumpuk → satu banner jelas + pusat preferensi → log persetujuan → CTA</t>
        </is>
      </c>
      <c r="Q152" s="24" t="n">
        <v>0.3</v>
      </c>
      <c r="R152" s="25">
        <f>IF(Q152="","",1-Q152)</f>
        <v/>
      </c>
      <c r="S152" s="20">
        <f>IF(Q152="","—",TEXT(1-Q152,"0%")&amp;" edukasi · "&amp;TEXT(Q152,"0%")&amp;" meme")</f>
        <v/>
      </c>
      <c r="T152" s="20" t="inlineStr">
        <is>
          <t>Consent &amp; Cookie</t>
        </is>
      </c>
      <c r="U152" s="20" t="inlineStr">
        <is>
          <t>consent-detail</t>
        </is>
      </c>
      <c r="V152" s="19" t="inlineStr">
        <is>
          <t>15 dtk</t>
        </is>
      </c>
      <c r="W152" s="20" t="inlineStr">
        <is>
          <t>Baru</t>
        </is>
      </c>
      <c r="X152" s="20" t="inlineStr">
        <is>
          <t>Banner masuk dari bawah berlapis; tombol berkedip.</t>
        </is>
      </c>
      <c r="Y152" s="20" t="inlineStr">
        <is>
          <t>Banner fiktif; tanpa situs nyata.</t>
        </is>
      </c>
      <c r="Z152" s="20">
        <f>IF(OR(E152="Bisa",E152="Berat"),1,0)</f>
        <v/>
      </c>
      <c r="AA152" s="20">
        <f>IF(Z152=1,J152-ROW()/100000,"")</f>
        <v/>
      </c>
      <c r="AB152" s="20">
        <f>B152&amp;"|"&amp;K152</f>
        <v/>
      </c>
    </row>
    <row r="153" ht="78" customHeight="1">
      <c r="A153" s="9" t="inlineStr">
        <is>
          <t>UI16</t>
        </is>
      </c>
      <c r="B153" s="5" t="inlineStr">
        <is>
          <t>Layar &amp; UI</t>
        </is>
      </c>
      <c r="C153" s="11" t="inlineStr">
        <is>
          <t>Kuis pilih kotak</t>
        </is>
      </c>
      <c r="D153" s="5" t="inlineStr">
        <is>
          <t>Kisi 3×3 gambar; penonton diminta memilih kotak tertentu.</t>
        </is>
      </c>
      <c r="E153" s="28" t="inlineStr">
        <is>
          <t>Bisa</t>
        </is>
      </c>
      <c r="F153" s="9" t="inlineStr"/>
      <c r="G153" s="9" t="n">
        <v>2</v>
      </c>
      <c r="H153" s="9" t="n">
        <v>9</v>
      </c>
      <c r="I153" s="9" t="n">
        <v>8</v>
      </c>
      <c r="J153" s="26">
        <f>IF(E153="Tidak cocok","",ROUND(H153*W_GAYA_WOW+I153*W_GAYA_MEREK+(11-2*G153)*W_GAYA_MUDAH,1))</f>
        <v/>
      </c>
      <c r="K153" s="9">
        <f>IF(Z153=1,COUNTIFS($B$2:$B$254,B153,$AA$2:$AA$254,"&gt;"&amp;AA153)+1,"—")</f>
        <v/>
      </c>
      <c r="L153" s="9" t="n">
        <v>4</v>
      </c>
      <c r="M153" s="11" t="inlineStr">
        <is>
          <t>Pilih Semua Kotak Berisi Data Pribadi</t>
        </is>
      </c>
      <c r="N153" s="9" t="inlineStr">
        <is>
          <t>Relate</t>
        </is>
      </c>
      <c r="O153" s="5" t="inlineStr">
        <is>
          <t>“Pilih semua kotak yang berisi data pribadi.”</t>
        </is>
      </c>
      <c r="P153" s="5" t="inlineStr">
        <is>
          <t>Kotak: nama, plat nomor, NIK, foto wajah, menu makan siang… → jawaban mengejutkan → pemindaian otomatis → CTA</t>
        </is>
      </c>
      <c r="Q153" s="24" t="n">
        <v>0.3</v>
      </c>
      <c r="R153" s="27">
        <f>IF(Q153="","",1-Q153)</f>
        <v/>
      </c>
      <c r="S153" s="5">
        <f>IF(Q153="","—",TEXT(1-Q153,"0%")&amp;" edukasi · "&amp;TEXT(Q153,"0%")&amp;" meme")</f>
        <v/>
      </c>
      <c r="T153" s="5" t="inlineStr">
        <is>
          <t>Data Discovery, RoPA</t>
        </is>
      </c>
      <c r="U153" s="5" t="inlineStr">
        <is>
          <t>—</t>
        </is>
      </c>
      <c r="V153" s="9" t="inlineStr">
        <is>
          <t>15 dtk</t>
        </is>
      </c>
      <c r="W153" s="5" t="inlineStr">
        <is>
          <t>Baru</t>
        </is>
      </c>
      <c r="X153" s="5" t="inlineStr">
        <is>
          <t>Grid kartu; kotak terpilih diberi centang; penghitung.</t>
        </is>
      </c>
      <c r="Y153" s="5" t="inlineStr">
        <is>
          <t>Desain sendiri; jangan meniru tampilan layanan captcha.</t>
        </is>
      </c>
      <c r="Z153" s="5">
        <f>IF(OR(E153="Bisa",E153="Berat"),1,0)</f>
        <v/>
      </c>
      <c r="AA153" s="5">
        <f>IF(Z153=1,J153-ROW()/100000,"")</f>
        <v/>
      </c>
      <c r="AB153" s="5">
        <f>B153&amp;"|"&amp;K153</f>
        <v/>
      </c>
    </row>
    <row r="154" ht="78" customHeight="1">
      <c r="A154" s="19" t="inlineStr">
        <is>
          <t>UI17</t>
        </is>
      </c>
      <c r="B154" s="20" t="inlineStr">
        <is>
          <t>Layar &amp; UI</t>
        </is>
      </c>
      <c r="C154" s="21" t="inlineStr">
        <is>
          <t>Asisten AI (orb / gelombang)</t>
        </is>
      </c>
      <c r="D154" s="20" t="inlineStr">
        <is>
          <t>Orb bercahaya berdenyut saat menjawab; kutipan sumber muncul.</t>
        </is>
      </c>
      <c r="E154" s="28" t="inlineStr">
        <is>
          <t>Bisa</t>
        </is>
      </c>
      <c r="F154" s="19" t="inlineStr"/>
      <c r="G154" s="19" t="n">
        <v>2</v>
      </c>
      <c r="H154" s="19" t="n">
        <v>7</v>
      </c>
      <c r="I154" s="19" t="n">
        <v>9</v>
      </c>
      <c r="J154" s="23">
        <f>IF(E154="Tidak cocok","",ROUND(H154*W_GAYA_WOW+I154*W_GAYA_MEREK+(11-2*G154)*W_GAYA_MUDAH,1))</f>
        <v/>
      </c>
      <c r="K154" s="19">
        <f>IF(Z154=1,COUNTIFS($B$2:$B$254,B154,$AA$2:$AA$254,"&gt;"&amp;AA154)+1,"—")</f>
        <v/>
      </c>
      <c r="L154" s="19" t="n">
        <v>4</v>
      </c>
      <c r="M154" s="21" t="inlineStr">
        <is>
          <t>Tanya Priva</t>
        </is>
      </c>
      <c r="N154" s="19" t="inlineStr">
        <is>
          <t>Logika dipatahkan</t>
        </is>
      </c>
      <c r="O154" s="20" t="inlineStr">
        <is>
          <t>“AI paling berguna untuk DPO bukan yang paling kreatif.”</t>
        </is>
      </c>
      <c r="P154" s="20" t="inlineStr">
        <is>
          <t>Pertanyaan diketik → jawaban dengan rujukan knowledge base → CTA</t>
        </is>
      </c>
      <c r="Q154" s="24" t="n">
        <v>0.2</v>
      </c>
      <c r="R154" s="25">
        <f>IF(Q154="","",1-Q154)</f>
        <v/>
      </c>
      <c r="S154" s="20">
        <f>IF(Q154="","—",TEXT(1-Q154,"0%")&amp;" edukasi · "&amp;TEXT(Q154,"0%")&amp;" meme")</f>
        <v/>
      </c>
      <c r="T154" s="20" t="inlineStr">
        <is>
          <t>Priva (asisten AI)</t>
        </is>
      </c>
      <c r="U154" s="20" t="inlineStr">
        <is>
          <t>ai-agent-home, ai-agent-chat</t>
        </is>
      </c>
      <c r="V154" s="19" t="inlineStr">
        <is>
          <t>15 dtk</t>
        </is>
      </c>
      <c r="W154" s="20" t="inlineStr">
        <is>
          <t>M19</t>
        </is>
      </c>
      <c r="X154" s="20" t="inlineStr">
        <is>
          <t>Gradasi radial berdenyut; teks jawaban diketik; kartu sumber.</t>
        </is>
      </c>
      <c r="Y154" s="20" t="inlineStr"/>
      <c r="Z154" s="20">
        <f>IF(OR(E154="Bisa",E154="Berat"),1,0)</f>
        <v/>
      </c>
      <c r="AA154" s="20">
        <f>IF(Z154=1,J154-ROW()/100000,"")</f>
        <v/>
      </c>
      <c r="AB154" s="20">
        <f>B154&amp;"|"&amp;K154</f>
        <v/>
      </c>
    </row>
    <row r="155" ht="78" customHeight="1">
      <c r="A155" s="9" t="inlineStr">
        <is>
          <t>UI18</t>
        </is>
      </c>
      <c r="B155" s="5" t="inlineStr">
        <is>
          <t>Layar &amp; UI</t>
        </is>
      </c>
      <c r="C155" s="11" t="inlineStr">
        <is>
          <t>Lacak paket (resi)</t>
        </is>
      </c>
      <c r="D155" s="5" t="inlineStr">
        <is>
          <t>Linimasa pelacakan seperti resi kurir: titik status turun satu per satu.</t>
        </is>
      </c>
      <c r="E155" s="22" t="inlineStr">
        <is>
          <t>Sudah</t>
        </is>
      </c>
      <c r="F155" s="9" t="inlineStr">
        <is>
          <t>UI18</t>
        </is>
      </c>
      <c r="G155" s="9" t="n">
        <v>2</v>
      </c>
      <c r="H155" s="9" t="n">
        <v>9</v>
      </c>
      <c r="I155" s="9" t="n">
        <v>9</v>
      </c>
      <c r="J155" s="26">
        <f>IF(E155="Tidak cocok","",ROUND(H155*W_GAYA_WOW+I155*W_GAYA_MEREK+(11-2*G155)*W_GAYA_MUDAH,1))</f>
        <v/>
      </c>
      <c r="K155" s="9">
        <f>IF(Z155=1,COUNTIFS($B$2:$B$254,B155,$AA$2:$AA$254,"&gt;"&amp;AA155)+1,"—")</f>
        <v/>
      </c>
      <c r="L155" s="9" t="n">
        <v>4</v>
      </c>
      <c r="M155" s="11" t="inlineStr">
        <is>
          <t>Lacak Permohonan</t>
        </is>
      </c>
      <c r="N155" s="9" t="inlineStr">
        <is>
          <t>Relate</t>
        </is>
      </c>
      <c r="O155" s="5" t="inlineStr">
        <is>
          <t>“Paket bisa dilacak sampai depan pintu. Permohonan hapus data?”</t>
        </is>
      </c>
      <c r="P155" s="5" t="inlineStr">
        <is>
          <t>Status: diterima → diverifikasi → ditelaah → disetujui → selesai (tenggat 72 jam terlihat) → CTA</t>
        </is>
      </c>
      <c r="Q155" s="24" t="n">
        <v>0.2</v>
      </c>
      <c r="R155" s="27">
        <f>IF(Q155="","",1-Q155)</f>
        <v/>
      </c>
      <c r="S155" s="5">
        <f>IF(Q155="","—",TEXT(1-Q155,"0%")&amp;" edukasi · "&amp;TEXT(Q155,"0%")&amp;" meme")</f>
        <v/>
      </c>
      <c r="T155" s="5" t="inlineStr">
        <is>
          <t>DSR</t>
        </is>
      </c>
      <c r="U155" s="5" t="inlineStr">
        <is>
          <t>dsr-detail</t>
        </is>
      </c>
      <c r="V155" s="9" t="inlineStr">
        <is>
          <t>15 dtk</t>
        </is>
      </c>
      <c r="W155" s="5" t="inlineStr">
        <is>
          <t>Baru</t>
        </is>
      </c>
      <c r="X155" s="5" t="inlineStr">
        <is>
          <t>Linimasa vertikal; titik aktif berdenyut; cap waktu.</t>
        </is>
      </c>
      <c r="Y155" s="5" t="inlineStr">
        <is>
          <t>Tampilan pelacakan fiktif; tanpa merek kurir.</t>
        </is>
      </c>
      <c r="Z155" s="5">
        <f>IF(OR(E155="Bisa",E155="Berat"),1,0)</f>
        <v/>
      </c>
      <c r="AA155" s="5">
        <f>IF(Z155=1,J155-ROW()/100000,"")</f>
        <v/>
      </c>
      <c r="AB155" s="5">
        <f>B155&amp;"|"&amp;K155</f>
        <v/>
      </c>
    </row>
    <row r="156" ht="78" customHeight="1">
      <c r="A156" s="19" t="inlineStr">
        <is>
          <t>UI19</t>
        </is>
      </c>
      <c r="B156" s="20" t="inlineStr">
        <is>
          <t>Layar &amp; UI</t>
        </is>
      </c>
      <c r="C156" s="21" t="inlineStr">
        <is>
          <t>Keranjang belanja</t>
        </is>
      </c>
      <c r="D156" s="20" t="inlineStr">
        <is>
          <t>Halaman keranjang; barang aneh ikut masuk.</t>
        </is>
      </c>
      <c r="E156" s="22" t="inlineStr">
        <is>
          <t>Sudah</t>
        </is>
      </c>
      <c r="F156" s="19" t="inlineStr">
        <is>
          <t>UI19</t>
        </is>
      </c>
      <c r="G156" s="19" t="n">
        <v>2</v>
      </c>
      <c r="H156" s="19" t="n">
        <v>7</v>
      </c>
      <c r="I156" s="19" t="n">
        <v>7</v>
      </c>
      <c r="J156" s="23">
        <f>IF(E156="Tidak cocok","",ROUND(H156*W_GAYA_WOW+I156*W_GAYA_MEREK+(11-2*G156)*W_GAYA_MUDAH,1))</f>
        <v/>
      </c>
      <c r="K156" s="19">
        <f>IF(Z156=1,COUNTIFS($B$2:$B$254,B156,$AA$2:$AA$254,"&gt;"&amp;AA156)+1,"—")</f>
        <v/>
      </c>
      <c r="L156" s="19" t="n">
        <v>4</v>
      </c>
      <c r="M156" s="21" t="inlineStr">
        <is>
          <t>Keranjang 12.12</t>
        </is>
      </c>
      <c r="N156" s="19" t="inlineStr">
        <is>
          <t>Anomali</t>
        </is>
      </c>
      <c r="O156" s="20" t="inlineStr">
        <is>
          <t>“Diskon 90%. Data pelanggan ikut ‘diskon’?”</t>
        </is>
      </c>
      <c r="P156" s="20" t="inlineStr">
        <is>
          <t>Keranjang promo → baris “data pelanggan” menyelip → latihan insiden sebelum musim promo → CTA</t>
        </is>
      </c>
      <c r="Q156" s="24" t="n">
        <v>0.5</v>
      </c>
      <c r="R156" s="25">
        <f>IF(Q156="","",1-Q156)</f>
        <v/>
      </c>
      <c r="S156" s="20">
        <f>IF(Q156="","—",TEXT(1-Q156,"0%")&amp;" edukasi · "&amp;TEXT(Q156,"0%")&amp;" meme")</f>
        <v/>
      </c>
      <c r="T156" s="20" t="inlineStr">
        <is>
          <t>Simulasi &amp; Fire Drill</t>
        </is>
      </c>
      <c r="U156" s="20" t="inlineStr">
        <is>
          <t>fire-drill-header</t>
        </is>
      </c>
      <c r="V156" s="19" t="inlineStr">
        <is>
          <t>15 dtk</t>
        </is>
      </c>
      <c r="W156" s="20" t="inlineStr">
        <is>
          <t>A25</t>
        </is>
      </c>
      <c r="X156" s="20" t="inlineStr">
        <is>
          <t>Daftar keranjang; baris baru menyelip; total berubah.</t>
        </is>
      </c>
      <c r="Y156" s="20" t="inlineStr">
        <is>
          <t>Toko fiktif.</t>
        </is>
      </c>
      <c r="Z156" s="20">
        <f>IF(OR(E156="Bisa",E156="Berat"),1,0)</f>
        <v/>
      </c>
      <c r="AA156" s="20">
        <f>IF(Z156=1,J156-ROW()/100000,"")</f>
        <v/>
      </c>
      <c r="AB156" s="20">
        <f>B156&amp;"|"&amp;K156</f>
        <v/>
      </c>
    </row>
    <row r="157" ht="78" customHeight="1">
      <c r="A157" s="9" t="inlineStr">
        <is>
          <t>UI20</t>
        </is>
      </c>
      <c r="B157" s="5" t="inlineStr">
        <is>
          <t>Layar &amp; UI</t>
        </is>
      </c>
      <c r="C157" s="11" t="inlineStr">
        <is>
          <t>Layar memuat</t>
        </is>
      </c>
      <c r="D157" s="5" t="inlineStr">
        <is>
          <t>Bilah progres yang macet di angka tertentu.</t>
        </is>
      </c>
      <c r="E157" s="28" t="inlineStr">
        <is>
          <t>Bisa</t>
        </is>
      </c>
      <c r="F157" s="9" t="inlineStr"/>
      <c r="G157" s="9" t="n">
        <v>1</v>
      </c>
      <c r="H157" s="9" t="n">
        <v>6</v>
      </c>
      <c r="I157" s="9" t="n">
        <v>8</v>
      </c>
      <c r="J157" s="26">
        <f>IF(E157="Tidak cocok","",ROUND(H157*W_GAYA_WOW+I157*W_GAYA_MEREK+(11-2*G157)*W_GAYA_MUDAH,1))</f>
        <v/>
      </c>
      <c r="K157" s="9">
        <f>IF(Z157=1,COUNTIFS($B$2:$B$254,B157,$AA$2:$AA$254,"&gt;"&amp;AA157)+1,"—")</f>
        <v/>
      </c>
      <c r="L157" s="9" t="n">
        <v>4</v>
      </c>
      <c r="M157" s="11" t="inlineStr">
        <is>
          <t>Memuat Kepatuhan…</t>
        </is>
      </c>
      <c r="N157" s="9" t="inlineStr">
        <is>
          <t>Relate</t>
        </is>
      </c>
      <c r="O157" s="5" t="inlineStr">
        <is>
          <t>“Memuat kepatuhan… 38%.”</t>
        </is>
      </c>
      <c r="P157" s="5" t="inlineStr">
        <is>
          <t>Progres macet → daftar yang belum selesai → GAP Assessment memberi skor &amp; rekomendasi → CTA</t>
        </is>
      </c>
      <c r="Q157" s="24" t="n">
        <v>0.3</v>
      </c>
      <c r="R157" s="27">
        <f>IF(Q157="","",1-Q157)</f>
        <v/>
      </c>
      <c r="S157" s="5">
        <f>IF(Q157="","—",TEXT(1-Q157,"0%")&amp;" edukasi · "&amp;TEXT(Q157,"0%")&amp;" meme")</f>
        <v/>
      </c>
      <c r="T157" s="5" t="inlineStr">
        <is>
          <t>GAP Assessment</t>
        </is>
      </c>
      <c r="U157" s="5" t="inlineStr">
        <is>
          <t>gap-rekomendasi</t>
        </is>
      </c>
      <c r="V157" s="9" t="inlineStr">
        <is>
          <t>10 dtk</t>
        </is>
      </c>
      <c r="W157" s="5" t="inlineStr">
        <is>
          <t>Baru</t>
        </is>
      </c>
      <c r="X157" s="5" t="inlineStr">
        <is>
          <t>Bilah scaleX dengan jeda; teks status berganti.</t>
        </is>
      </c>
      <c r="Y157" s="5" t="inlineStr">
        <is>
          <t>Angka = ilustrasi.</t>
        </is>
      </c>
      <c r="Z157" s="5">
        <f>IF(OR(E157="Bisa",E157="Berat"),1,0)</f>
        <v/>
      </c>
      <c r="AA157" s="5">
        <f>IF(Z157=1,J157-ROW()/100000,"")</f>
        <v/>
      </c>
      <c r="AB157" s="5">
        <f>B157&amp;"|"&amp;K157</f>
        <v/>
      </c>
    </row>
    <row r="158" ht="78" customHeight="1">
      <c r="A158" s="19" t="inlineStr">
        <is>
          <t>UI21</t>
        </is>
      </c>
      <c r="B158" s="20" t="inlineStr">
        <is>
          <t>Layar &amp; UI</t>
        </is>
      </c>
      <c r="C158" s="21" t="inlineStr">
        <is>
          <t>Sakelar preferensi</t>
        </is>
      </c>
      <c r="D158" s="20" t="inlineStr">
        <is>
          <t>Deretan sakelar hidup/mati; satu dimatikan, yang lain ikut.</t>
        </is>
      </c>
      <c r="E158" s="28" t="inlineStr">
        <is>
          <t>Bisa</t>
        </is>
      </c>
      <c r="F158" s="19" t="inlineStr"/>
      <c r="G158" s="19" t="n">
        <v>2</v>
      </c>
      <c r="H158" s="19" t="n">
        <v>7</v>
      </c>
      <c r="I158" s="19" t="n">
        <v>9</v>
      </c>
      <c r="J158" s="23">
        <f>IF(E158="Tidak cocok","",ROUND(H158*W_GAYA_WOW+I158*W_GAYA_MEREK+(11-2*G158)*W_GAYA_MUDAH,1))</f>
        <v/>
      </c>
      <c r="K158" s="19">
        <f>IF(Z158=1,COUNTIFS($B$2:$B$254,B158,$AA$2:$AA$254,"&gt;"&amp;AA158)+1,"—")</f>
        <v/>
      </c>
      <c r="L158" s="19" t="n">
        <v>4</v>
      </c>
      <c r="M158" s="21" t="inlineStr">
        <is>
          <t>Matikan Satu</t>
        </is>
      </c>
      <c r="N158" s="19" t="inlineStr">
        <is>
          <t>Anomali</t>
        </is>
      </c>
      <c r="O158" s="20" t="inlineStr">
        <is>
          <t>“Pelanggan mematikan satu sakelar. Berapa sistem yang ikut berubah?”</t>
        </is>
      </c>
      <c r="P158" s="20" t="inlineStr">
        <is>
          <t>Sakelar “promosi” dimatikan → sinyal ke semua kanal → penarikan dihormati di seluruh kanal → CTA</t>
        </is>
      </c>
      <c r="Q158" s="24" t="n">
        <v>0.2</v>
      </c>
      <c r="R158" s="25">
        <f>IF(Q158="","",1-Q158)</f>
        <v/>
      </c>
      <c r="S158" s="20">
        <f>IF(Q158="","—",TEXT(1-Q158,"0%")&amp;" edukasi · "&amp;TEXT(Q158,"0%")&amp;" meme")</f>
        <v/>
      </c>
      <c r="T158" s="20" t="inlineStr">
        <is>
          <t>Consent (pusat preferensi)</t>
        </is>
      </c>
      <c r="U158" s="20" t="inlineStr">
        <is>
          <t>consent-detail</t>
        </is>
      </c>
      <c r="V158" s="19" t="inlineStr">
        <is>
          <t>15 dtk</t>
        </is>
      </c>
      <c r="W158" s="20" t="inlineStr">
        <is>
          <t>Flow unggulan (Bab 1)</t>
        </is>
      </c>
      <c r="X158" s="20" t="inlineStr">
        <is>
          <t>Sakelar bergeser; garis penghubung menyala.</t>
        </is>
      </c>
      <c r="Y158" s="20" t="inlineStr"/>
      <c r="Z158" s="20">
        <f>IF(OR(E158="Bisa",E158="Berat"),1,0)</f>
        <v/>
      </c>
      <c r="AA158" s="20">
        <f>IF(Z158=1,J158-ROW()/100000,"")</f>
        <v/>
      </c>
      <c r="AB158" s="20">
        <f>B158&amp;"|"&amp;K158</f>
        <v/>
      </c>
    </row>
    <row r="159" ht="78" customHeight="1">
      <c r="A159" s="9" t="inlineStr">
        <is>
          <t>UI22</t>
        </is>
      </c>
      <c r="B159" s="5" t="inlineStr">
        <is>
          <t>Layar &amp; UI</t>
        </is>
      </c>
      <c r="C159" s="11" t="inlineStr">
        <is>
          <t>Rapat video</t>
        </is>
      </c>
      <c r="D159" s="5" t="inlineStr">
        <is>
          <t>Kisi peserta rapat online; satu kotak masih mute.</t>
        </is>
      </c>
      <c r="E159" s="28" t="inlineStr">
        <is>
          <t>Bisa</t>
        </is>
      </c>
      <c r="F159" s="9" t="inlineStr"/>
      <c r="G159" s="9" t="n">
        <v>2</v>
      </c>
      <c r="H159" s="9" t="n">
        <v>7</v>
      </c>
      <c r="I159" s="9" t="n">
        <v>7</v>
      </c>
      <c r="J159" s="26">
        <f>IF(E159="Tidak cocok","",ROUND(H159*W_GAYA_WOW+I159*W_GAYA_MEREK+(11-2*G159)*W_GAYA_MUDAH,1))</f>
        <v/>
      </c>
      <c r="K159" s="9">
        <f>IF(Z159=1,COUNTIFS($B$2:$B$254,B159,$AA$2:$AA$254,"&gt;"&amp;AA159)+1,"—")</f>
        <v/>
      </c>
      <c r="L159" s="9" t="n">
        <v>4</v>
      </c>
      <c r="M159" s="11" t="inlineStr">
        <is>
          <t>Kamu Masih Mute</t>
        </is>
      </c>
      <c r="N159" s="9" t="inlineStr">
        <is>
          <t>Relate</t>
        </is>
      </c>
      <c r="O159" s="5" t="inlineStr">
        <is>
          <t>“Latihan kebocoran data pertama kantor ini. Moderatornya masih mute.”</t>
        </is>
      </c>
      <c r="P159" s="5" t="inlineStr">
        <is>
          <t>Rapat kacau → skenario tabletop siap pakai → penilaian rubrik → CTA</t>
        </is>
      </c>
      <c r="Q159" s="24" t="n">
        <v>0.5</v>
      </c>
      <c r="R159" s="27">
        <f>IF(Q159="","",1-Q159)</f>
        <v/>
      </c>
      <c r="S159" s="5">
        <f>IF(Q159="","—",TEXT(1-Q159,"0%")&amp;" edukasi · "&amp;TEXT(Q159,"0%")&amp;" meme")</f>
        <v/>
      </c>
      <c r="T159" s="5" t="inlineStr">
        <is>
          <t>Simulasi &amp; Fire Drill</t>
        </is>
      </c>
      <c r="U159" s="5" t="inlineStr">
        <is>
          <t>fire-drill-header</t>
        </is>
      </c>
      <c r="V159" s="9" t="inlineStr">
        <is>
          <t>15 dtk</t>
        </is>
      </c>
      <c r="W159" s="5" t="inlineStr">
        <is>
          <t>M12</t>
        </is>
      </c>
      <c r="X159" s="5" t="inlineStr">
        <is>
          <t>Grid kotak peserta (avatar bentuk); ikon mute; gelembung chat.</t>
        </is>
      </c>
      <c r="Y159" s="5" t="inlineStr">
        <is>
          <t>Aplikasi rapat fiktif; avatar tanpa wajah nyata.</t>
        </is>
      </c>
      <c r="Z159" s="5">
        <f>IF(OR(E159="Bisa",E159="Berat"),1,0)</f>
        <v/>
      </c>
      <c r="AA159" s="5">
        <f>IF(Z159=1,J159-ROW()/100000,"")</f>
        <v/>
      </c>
      <c r="AB159" s="5">
        <f>B159&amp;"|"&amp;K159</f>
        <v/>
      </c>
    </row>
    <row r="160" ht="78" customHeight="1">
      <c r="A160" s="19" t="inlineStr">
        <is>
          <t>UI23</t>
        </is>
      </c>
      <c r="B160" s="20" t="inlineStr">
        <is>
          <t>Layar &amp; UI</t>
        </is>
      </c>
      <c r="C160" s="21" t="inlineStr">
        <is>
          <t>Pencapaian terbuka (game)</t>
        </is>
      </c>
      <c r="D160" s="20" t="inlineStr">
        <is>
          <t>Notifikasi pencapaian muncul di pojok layar dengan bunyi.</t>
        </is>
      </c>
      <c r="E160" s="28" t="inlineStr">
        <is>
          <t>Bisa</t>
        </is>
      </c>
      <c r="F160" s="19" t="inlineStr"/>
      <c r="G160" s="19" t="n">
        <v>1</v>
      </c>
      <c r="H160" s="19" t="n">
        <v>7</v>
      </c>
      <c r="I160" s="19" t="n">
        <v>7</v>
      </c>
      <c r="J160" s="23">
        <f>IF(E160="Tidak cocok","",ROUND(H160*W_GAYA_WOW+I160*W_GAYA_MEREK+(11-2*G160)*W_GAYA_MUDAH,1))</f>
        <v/>
      </c>
      <c r="K160" s="19">
        <f>IF(Z160=1,COUNTIFS($B$2:$B$254,B160,$AA$2:$AA$254,"&gt;"&amp;AA160)+1,"—")</f>
        <v/>
      </c>
      <c r="L160" s="19" t="n">
        <v>4</v>
      </c>
      <c r="M160" s="21" t="inlineStr">
        <is>
          <t>Pencapaian Terbuka</t>
        </is>
      </c>
      <c r="N160" s="19" t="inlineStr">
        <is>
          <t>Relate</t>
        </is>
      </c>
      <c r="O160" s="20" t="inlineStr">
        <is>
          <t>“Pencapaian terbuka: membaca UU PDP sampai Pasal 5.”</t>
        </is>
      </c>
      <c r="P160" s="20" t="inlineStr">
        <is>
          <t>Pencapaian konyol → pencapaian sungguhan: modul DPO Academy selesai → CTA</t>
        </is>
      </c>
      <c r="Q160" s="24" t="n">
        <v>0.5</v>
      </c>
      <c r="R160" s="25">
        <f>IF(Q160="","",1-Q160)</f>
        <v/>
      </c>
      <c r="S160" s="20">
        <f>IF(Q160="","—",TEXT(1-Q160,"0%")&amp;" edukasi · "&amp;TEXT(Q160,"0%")&amp;" meme")</f>
        <v/>
      </c>
      <c r="T160" s="20" t="inlineStr">
        <is>
          <t>DPO Academy</t>
        </is>
      </c>
      <c r="U160" s="20" t="inlineStr">
        <is>
          <t>dpo-academy</t>
        </is>
      </c>
      <c r="V160" s="19" t="inlineStr">
        <is>
          <t>10 dtk</t>
        </is>
      </c>
      <c r="W160" s="20" t="inlineStr">
        <is>
          <t>A36</t>
        </is>
      </c>
      <c r="X160" s="20" t="inlineStr">
        <is>
          <t>Kartu toast masuk; ikon piala; bilah XP.</t>
        </is>
      </c>
      <c r="Y160" s="20" t="inlineStr"/>
      <c r="Z160" s="20">
        <f>IF(OR(E160="Bisa",E160="Berat"),1,0)</f>
        <v/>
      </c>
      <c r="AA160" s="20">
        <f>IF(Z160=1,J160-ROW()/100000,"")</f>
        <v/>
      </c>
      <c r="AB160" s="20">
        <f>B160&amp;"|"&amp;K160</f>
        <v/>
      </c>
    </row>
    <row r="161" ht="78" customHeight="1">
      <c r="A161" s="9" t="inlineStr">
        <is>
          <t>UI24</t>
        </is>
      </c>
      <c r="B161" s="5" t="inlineStr">
        <is>
          <t>Layar &amp; UI</t>
        </is>
      </c>
      <c r="C161" s="11" t="inlineStr">
        <is>
          <t>Urutan boot</t>
        </is>
      </c>
      <c r="D161" s="5" t="inlineStr">
        <is>
          <t>Teks putih di layar hitam memeriksa komponen satu per satu.</t>
        </is>
      </c>
      <c r="E161" s="22" t="inlineStr">
        <is>
          <t>Sudah</t>
        </is>
      </c>
      <c r="F161" s="9" t="inlineStr">
        <is>
          <t>UI24</t>
        </is>
      </c>
      <c r="G161" s="9" t="n">
        <v>1</v>
      </c>
      <c r="H161" s="9" t="n">
        <v>8</v>
      </c>
      <c r="I161" s="9" t="n">
        <v>8</v>
      </c>
      <c r="J161" s="26">
        <f>IF(E161="Tidak cocok","",ROUND(H161*W_GAYA_WOW+I161*W_GAYA_MEREK+(11-2*G161)*W_GAYA_MUDAH,1))</f>
        <v/>
      </c>
      <c r="K161" s="9">
        <f>IF(Z161=1,COUNTIFS($B$2:$B$254,B161,$AA$2:$AA$254,"&gt;"&amp;AA161)+1,"—")</f>
        <v/>
      </c>
      <c r="L161" s="9" t="n">
        <v>4</v>
      </c>
      <c r="M161" s="11" t="inlineStr">
        <is>
          <t>Memeriksa…</t>
        </is>
      </c>
      <c r="N161" s="9" t="inlineStr">
        <is>
          <t>Anomali</t>
        </is>
      </c>
      <c r="O161" s="5" t="inlineStr">
        <is>
          <t>“Memeriksa RoPA… OK. Memeriksa bukti persetujuan… TIDAK DITEMUKAN.”</t>
        </is>
      </c>
      <c r="P161" s="5" t="inlineStr">
        <is>
          <t>Pemeriksaan berjalan → berhenti di yang gagal → rekomendasi perbaikan → CTA</t>
        </is>
      </c>
      <c r="Q161" s="24" t="n">
        <v>0.3</v>
      </c>
      <c r="R161" s="27">
        <f>IF(Q161="","",1-Q161)</f>
        <v/>
      </c>
      <c r="S161" s="5">
        <f>IF(Q161="","—",TEXT(1-Q161,"0%")&amp;" edukasi · "&amp;TEXT(Q161,"0%")&amp;" meme")</f>
        <v/>
      </c>
      <c r="T161" s="5" t="inlineStr">
        <is>
          <t>GAP Assessment</t>
        </is>
      </c>
      <c r="U161" s="5" t="inlineStr">
        <is>
          <t>gap-rekomendasi</t>
        </is>
      </c>
      <c r="V161" s="9" t="inlineStr">
        <is>
          <t>15 dtk</t>
        </is>
      </c>
      <c r="W161" s="5" t="inlineStr">
        <is>
          <t>Baru</t>
        </is>
      </c>
      <c r="X161" s="5" t="inlineStr">
        <is>
          <t>Baris muncul berurutan; status OK/GAGAL berwarna.</t>
        </is>
      </c>
      <c r="Y161" s="5" t="inlineStr"/>
      <c r="Z161" s="5">
        <f>IF(OR(E161="Bisa",E161="Berat"),1,0)</f>
        <v/>
      </c>
      <c r="AA161" s="5">
        <f>IF(Z161=1,J161-ROW()/100000,"")</f>
        <v/>
      </c>
      <c r="AB161" s="5">
        <f>B161&amp;"|"&amp;K161</f>
        <v/>
      </c>
    </row>
    <row r="162" ht="78" customHeight="1">
      <c r="A162" s="19" t="inlineStr">
        <is>
          <t>UI25</t>
        </is>
      </c>
      <c r="B162" s="20" t="inlineStr">
        <is>
          <t>Layar &amp; UI</t>
        </is>
      </c>
      <c r="C162" s="21" t="inlineStr">
        <is>
          <t>Halaman galat 404</t>
        </is>
      </c>
      <c r="D162" s="20" t="inlineStr">
        <is>
          <t>Halaman “tidak ditemukan” dengan angka besar.</t>
        </is>
      </c>
      <c r="E162" s="28" t="inlineStr">
        <is>
          <t>Bisa</t>
        </is>
      </c>
      <c r="F162" s="19" t="inlineStr"/>
      <c r="G162" s="19" t="n">
        <v>1</v>
      </c>
      <c r="H162" s="19" t="n">
        <v>7</v>
      </c>
      <c r="I162" s="19" t="n">
        <v>8</v>
      </c>
      <c r="J162" s="23">
        <f>IF(E162="Tidak cocok","",ROUND(H162*W_GAYA_WOW+I162*W_GAYA_MEREK+(11-2*G162)*W_GAYA_MUDAH,1))</f>
        <v/>
      </c>
      <c r="K162" s="19">
        <f>IF(Z162=1,COUNTIFS($B$2:$B$254,B162,$AA$2:$AA$254,"&gt;"&amp;AA162)+1,"—")</f>
        <v/>
      </c>
      <c r="L162" s="19" t="n">
        <v>4</v>
      </c>
      <c r="M162" s="21" t="inlineStr">
        <is>
          <t>404</t>
        </is>
      </c>
      <c r="N162" s="19" t="inlineStr">
        <is>
          <t>Anomali</t>
        </is>
      </c>
      <c r="O162" s="20" t="inlineStr">
        <is>
          <t>“404: bukti tidak ditemukan.”</t>
        </is>
      </c>
      <c r="P162" s="20" t="inlineStr">
        <is>
          <t>404 → “auditor sedang menunggu” → analisis dokumen bukti per pertanyaan → CTA</t>
        </is>
      </c>
      <c r="Q162" s="24" t="n">
        <v>0.3</v>
      </c>
      <c r="R162" s="25">
        <f>IF(Q162="","",1-Q162)</f>
        <v/>
      </c>
      <c r="S162" s="20">
        <f>IF(Q162="","—",TEXT(1-Q162,"0%")&amp;" edukasi · "&amp;TEXT(Q162,"0%")&amp;" meme")</f>
        <v/>
      </c>
      <c r="T162" s="20" t="inlineStr">
        <is>
          <t>GAP Assessment (analisis bukti)</t>
        </is>
      </c>
      <c r="U162" s="20" t="inlineStr">
        <is>
          <t>gap-rekomendasi</t>
        </is>
      </c>
      <c r="V162" s="19" t="inlineStr">
        <is>
          <t>10 dtk</t>
        </is>
      </c>
      <c r="W162" s="20" t="inlineStr">
        <is>
          <t>Baru</t>
        </is>
      </c>
      <c r="X162" s="20" t="inlineStr">
        <is>
          <t>Angka raksasa; teks kecil; tombol kembali.</t>
        </is>
      </c>
      <c r="Y162" s="20" t="inlineStr"/>
      <c r="Z162" s="20">
        <f>IF(OR(E162="Bisa",E162="Berat"),1,0)</f>
        <v/>
      </c>
      <c r="AA162" s="20">
        <f>IF(Z162=1,J162-ROW()/100000,"")</f>
        <v/>
      </c>
      <c r="AB162" s="20">
        <f>B162&amp;"|"&amp;K162</f>
        <v/>
      </c>
    </row>
    <row r="163" ht="78" customHeight="1">
      <c r="A163" s="9" t="inlineStr">
        <is>
          <t>UI26</t>
        </is>
      </c>
      <c r="B163" s="5" t="inlineStr">
        <is>
          <t>Layar &amp; UI</t>
        </is>
      </c>
      <c r="C163" s="11" t="inlineStr">
        <is>
          <t>Pemindai (viewfinder)</t>
        </is>
      </c>
      <c r="D163" s="5" t="inlineStr">
        <is>
          <t>Bingkai bidik kamera memindai ruangan dan memberi label.</t>
        </is>
      </c>
      <c r="E163" s="28" t="inlineStr">
        <is>
          <t>Bisa</t>
        </is>
      </c>
      <c r="F163" s="9" t="inlineStr"/>
      <c r="G163" s="9" t="n">
        <v>3</v>
      </c>
      <c r="H163" s="9" t="n">
        <v>8</v>
      </c>
      <c r="I163" s="9" t="n">
        <v>8</v>
      </c>
      <c r="J163" s="26">
        <f>IF(E163="Tidak cocok","",ROUND(H163*W_GAYA_WOW+I163*W_GAYA_MEREK+(11-2*G163)*W_GAYA_MUDAH,1))</f>
        <v/>
      </c>
      <c r="K163" s="9">
        <f>IF(Z163=1,COUNTIFS($B$2:$B$254,B163,$AA$2:$AA$254,"&gt;"&amp;AA163)+1,"—")</f>
        <v/>
      </c>
      <c r="L163" s="9" t="n">
        <v>4</v>
      </c>
      <c r="M163" s="11" t="inlineStr">
        <is>
          <t>Pindai Ruangan Ini</t>
        </is>
      </c>
      <c r="N163" s="9" t="inlineStr">
        <is>
          <t>Anomali</t>
        </is>
      </c>
      <c r="O163" s="5" t="inlineStr">
        <is>
          <t>“Pindai meja kerjamu. Berapa data pribadi yang terlihat?”</t>
        </is>
      </c>
      <c r="P163" s="5" t="inlineStr">
        <is>
          <t>Kotak deteksi: kartu nama, layar, kertas tempel → pemindaian sumber data → CTA</t>
        </is>
      </c>
      <c r="Q163" s="24" t="n">
        <v>0.3</v>
      </c>
      <c r="R163" s="27">
        <f>IF(Q163="","",1-Q163)</f>
        <v/>
      </c>
      <c r="S163" s="5">
        <f>IF(Q163="","—",TEXT(1-Q163,"0%")&amp;" edukasi · "&amp;TEXT(Q163,"0%")&amp;" meme")</f>
        <v/>
      </c>
      <c r="T163" s="5" t="inlineStr">
        <is>
          <t>Data Discovery</t>
        </is>
      </c>
      <c r="U163" s="5" t="inlineStr">
        <is>
          <t>—</t>
        </is>
      </c>
      <c r="V163" s="9" t="inlineStr">
        <is>
          <t>15 dtk</t>
        </is>
      </c>
      <c r="W163" s="5" t="inlineStr">
        <is>
          <t>Baru</t>
        </is>
      </c>
      <c r="X163" s="5" t="inlineStr">
        <is>
          <t>Sudut bidik; kotak deteksi muncul; label mengetik.</t>
        </is>
      </c>
      <c r="Y163" s="5" t="inlineStr">
        <is>
          <t>Ruangan ilustrasi (gambar), bukan foto.</t>
        </is>
      </c>
      <c r="Z163" s="5">
        <f>IF(OR(E163="Bisa",E163="Berat"),1,0)</f>
        <v/>
      </c>
      <c r="AA163" s="5">
        <f>IF(Z163=1,J163-ROW()/100000,"")</f>
        <v/>
      </c>
      <c r="AB163" s="5">
        <f>B163&amp;"|"&amp;K163</f>
        <v/>
      </c>
    </row>
    <row r="164" ht="78" customHeight="1">
      <c r="A164" s="19" t="inlineStr">
        <is>
          <t>UI27</t>
        </is>
      </c>
      <c r="B164" s="20" t="inlineStr">
        <is>
          <t>Layar &amp; UI</t>
        </is>
      </c>
      <c r="C164" s="21" t="inlineStr">
        <is>
          <t>Bento grid</t>
        </is>
      </c>
      <c r="D164" s="20" t="inlineStr">
        <is>
          <t>Kotak-kotak informasi berbagai ukuran tersusun rapat.</t>
        </is>
      </c>
      <c r="E164" s="28" t="inlineStr">
        <is>
          <t>Bisa</t>
        </is>
      </c>
      <c r="F164" s="19" t="inlineStr"/>
      <c r="G164" s="19" t="n">
        <v>2</v>
      </c>
      <c r="H164" s="19" t="n">
        <v>7</v>
      </c>
      <c r="I164" s="19" t="n">
        <v>9</v>
      </c>
      <c r="J164" s="23">
        <f>IF(E164="Tidak cocok","",ROUND(H164*W_GAYA_WOW+I164*W_GAYA_MEREK+(11-2*G164)*W_GAYA_MUDAH,1))</f>
        <v/>
      </c>
      <c r="K164" s="19">
        <f>IF(Z164=1,COUNTIFS($B$2:$B$254,B164,$AA$2:$AA$254,"&gt;"&amp;AA164)+1,"—")</f>
        <v/>
      </c>
      <c r="L164" s="19" t="n">
        <v>4</v>
      </c>
      <c r="M164" s="21" t="inlineStr">
        <is>
          <t>Bento Kepatuhan</t>
        </is>
      </c>
      <c r="N164" s="19" t="inlineStr">
        <is>
          <t>Logika dipatahkan</t>
        </is>
      </c>
      <c r="O164" s="20" t="inlineStr">
        <is>
          <t>“Satu layar. Semua yang ditanya direksi.”</t>
        </is>
      </c>
      <c r="P164" s="20" t="inlineStr">
        <is>
          <t>Kotak skor, tenggat, insiden, risiko masuk satu-satu → CTA</t>
        </is>
      </c>
      <c r="Q164" s="24" t="n">
        <v>0.2</v>
      </c>
      <c r="R164" s="25">
        <f>IF(Q164="","",1-Q164)</f>
        <v/>
      </c>
      <c r="S164" s="20">
        <f>IF(Q164="","—",TEXT(1-Q164,"0%")&amp;" edukasi · "&amp;TEXT(Q164,"0%")&amp;" meme")</f>
        <v/>
      </c>
      <c r="T164" s="20" t="inlineStr">
        <is>
          <t>Dasbor kepatuhan</t>
        </is>
      </c>
      <c r="U164" s="20" t="inlineStr">
        <is>
          <t>dashboard, dashboard-postur, dashboard-risiko, dashboard-sla</t>
        </is>
      </c>
      <c r="V164" s="19" t="inlineStr">
        <is>
          <t>15 dtk</t>
        </is>
      </c>
      <c r="W164" s="20" t="inlineStr">
        <is>
          <t>P32</t>
        </is>
      </c>
      <c r="X164" s="20" t="inlineStr">
        <is>
          <t>Grid CSS; kotak masuk bertingkat; isi dari screenshot.</t>
        </is>
      </c>
      <c r="Y164" s="20" t="inlineStr"/>
      <c r="Z164" s="20">
        <f>IF(OR(E164="Bisa",E164="Berat"),1,0)</f>
        <v/>
      </c>
      <c r="AA164" s="20">
        <f>IF(Z164=1,J164-ROW()/100000,"")</f>
        <v/>
      </c>
      <c r="AB164" s="20">
        <f>B164&amp;"|"&amp;K164</f>
        <v/>
      </c>
    </row>
    <row r="165" ht="78" customHeight="1">
      <c r="A165" s="9" t="inlineStr">
        <is>
          <t>UI28</t>
        </is>
      </c>
      <c r="B165" s="5" t="inlineStr">
        <is>
          <t>Layar &amp; UI</t>
        </is>
      </c>
      <c r="C165" s="11" t="inlineStr">
        <is>
          <t>Nomor antrean loket</t>
        </is>
      </c>
      <c r="D165" s="5" t="inlineStr">
        <is>
          <t>Layar antrean: nomor dipanggil, loket berkedip.</t>
        </is>
      </c>
      <c r="E165" s="28" t="inlineStr">
        <is>
          <t>Bisa</t>
        </is>
      </c>
      <c r="F165" s="9" t="inlineStr"/>
      <c r="G165" s="9" t="n">
        <v>2</v>
      </c>
      <c r="H165" s="9" t="n">
        <v>8</v>
      </c>
      <c r="I165" s="9" t="n">
        <v>8</v>
      </c>
      <c r="J165" s="26">
        <f>IF(E165="Tidak cocok","",ROUND(H165*W_GAYA_WOW+I165*W_GAYA_MEREK+(11-2*G165)*W_GAYA_MUDAH,1))</f>
        <v/>
      </c>
      <c r="K165" s="9">
        <f>IF(Z165=1,COUNTIFS($B$2:$B$254,B165,$AA$2:$AA$254,"&gt;"&amp;AA165)+1,"—")</f>
        <v/>
      </c>
      <c r="L165" s="9" t="n">
        <v>4</v>
      </c>
      <c r="M165" s="11" t="inlineStr">
        <is>
          <t>Nomor Antrean A-072</t>
        </is>
      </c>
      <c r="N165" s="9" t="inlineStr">
        <is>
          <t>Relate</t>
        </is>
      </c>
      <c r="O165" s="5" t="inlineStr">
        <is>
          <t>“Nomor antrean A-072, silakan ke loket persetujuan.”</t>
        </is>
      </c>
      <c r="P165" s="5" t="inlineStr">
        <is>
          <t>Loket kertas → persetujuan di loket tercatat sama seperti web &amp; aplikasi → CTA</t>
        </is>
      </c>
      <c r="Q165" s="24" t="n">
        <v>0.3</v>
      </c>
      <c r="R165" s="27">
        <f>IF(Q165="","",1-Q165)</f>
        <v/>
      </c>
      <c r="S165" s="5">
        <f>IF(Q165="","—",TEXT(1-Q165,"0%")&amp;" edukasi · "&amp;TEXT(Q165,"0%")&amp;" meme")</f>
        <v/>
      </c>
      <c r="T165" s="5" t="inlineStr">
        <is>
          <t>Consent (titik pengumpulan: web, aplikasi, loket)</t>
        </is>
      </c>
      <c r="U165" s="5" t="inlineStr">
        <is>
          <t>consent-detail</t>
        </is>
      </c>
      <c r="V165" s="9" t="inlineStr">
        <is>
          <t>15 dtk</t>
        </is>
      </c>
      <c r="W165" s="5" t="inlineStr">
        <is>
          <t>Baru (lokal)</t>
        </is>
      </c>
      <c r="X165" s="5" t="inlineStr">
        <is>
          <t>Angka besar berganti; suara panggilan (TTS); papan loket.</t>
        </is>
      </c>
      <c r="Y165" s="5" t="inlineStr"/>
      <c r="Z165" s="5">
        <f>IF(OR(E165="Bisa",E165="Berat"),1,0)</f>
        <v/>
      </c>
      <c r="AA165" s="5">
        <f>IF(Z165=1,J165-ROW()/100000,"")</f>
        <v/>
      </c>
      <c r="AB165" s="5">
        <f>B165&amp;"|"&amp;K165</f>
        <v/>
      </c>
    </row>
    <row r="166" ht="78" customHeight="1">
      <c r="A166" s="19" t="inlineStr">
        <is>
          <t>SN01</t>
        </is>
      </c>
      <c r="B166" s="20" t="inlineStr">
        <is>
          <t>Sinematik &amp; retro</t>
        </is>
      </c>
      <c r="C166" s="21" t="inlineStr">
        <is>
          <t>Cyber-noir CCTV</t>
        </is>
      </c>
      <c r="D166" s="20" t="inlineStr">
        <is>
          <t>Tampilan kamera pengawas gelap dengan garis scan dan cap waktu.</t>
        </is>
      </c>
      <c r="E166" s="22" t="inlineStr">
        <is>
          <t>Sudah</t>
        </is>
      </c>
      <c r="F166" s="19" t="inlineStr">
        <is>
          <t>N03</t>
        </is>
      </c>
      <c r="G166" s="19" t="n">
        <v>3</v>
      </c>
      <c r="H166" s="19" t="n">
        <v>8</v>
      </c>
      <c r="I166" s="19" t="n">
        <v>8</v>
      </c>
      <c r="J166" s="23">
        <f>IF(E166="Tidak cocok","",ROUND(H166*W_GAYA_WOW+I166*W_GAYA_MEREK+(11-2*G166)*W_GAYA_MUDAH,1))</f>
        <v/>
      </c>
      <c r="K166" s="19">
        <f>IF(Z166=1,COUNTIFS($B$2:$B$254,B166,$AA$2:$AA$254,"&gt;"&amp;AA166)+1,"—")</f>
        <v/>
      </c>
      <c r="L166" s="19" t="n">
        <v>5</v>
      </c>
      <c r="M166" s="21" t="inlineStr">
        <is>
          <t>Insiden 3×24 Jam</t>
        </is>
      </c>
      <c r="N166" s="19" t="inlineStr">
        <is>
          <t>Anomali</t>
        </is>
      </c>
      <c r="O166" s="20" t="inlineStr">
        <is>
          <t>Jam 03.00: dugaan kebocoran data.</t>
        </is>
      </c>
      <c r="P166" s="20" t="inlineStr">
        <is>
          <t>Notifikasi → 5 fase → templat → CTA</t>
        </is>
      </c>
      <c r="Q166" s="24" t="n">
        <v>0.2</v>
      </c>
      <c r="R166" s="25">
        <f>IF(Q166="","",1-Q166)</f>
        <v/>
      </c>
      <c r="S166" s="20">
        <f>IF(Q166="","—",TEXT(1-Q166,"0%")&amp;" edukasi · "&amp;TEXT(Q166,"0%")&amp;" meme")</f>
        <v/>
      </c>
      <c r="T166" s="20" t="inlineStr">
        <is>
          <t>Manajemen Insiden</t>
        </is>
      </c>
      <c r="U166" s="20" t="inlineStr">
        <is>
          <t>breach-detail, breach-fase, breach-aksi</t>
        </is>
      </c>
      <c r="V166" s="19" t="inlineStr">
        <is>
          <t>38,5 dtk</t>
        </is>
      </c>
      <c r="W166" s="20" t="inlineStr">
        <is>
          <t>N03 (sudah dirender)</t>
        </is>
      </c>
      <c r="X166" s="20" t="inlineStr">
        <is>
          <t>Overlay scanline, vignette, teks cap waktu.</t>
        </is>
      </c>
      <c r="Y166" s="20" t="inlineStr"/>
      <c r="Z166" s="20">
        <f>IF(OR(E166="Bisa",E166="Berat"),1,0)</f>
        <v/>
      </c>
      <c r="AA166" s="20">
        <f>IF(Z166=1,J166-ROW()/100000,"")</f>
        <v/>
      </c>
      <c r="AB166" s="20">
        <f>B166&amp;"|"&amp;K166</f>
        <v/>
      </c>
    </row>
    <row r="167" ht="78" customHeight="1">
      <c r="A167" s="9" t="inlineStr">
        <is>
          <t>SN02</t>
        </is>
      </c>
      <c r="B167" s="5" t="inlineStr">
        <is>
          <t>Sinematik &amp; retro</t>
        </is>
      </c>
      <c r="C167" s="11" t="inlineStr">
        <is>
          <t>Neon sign</t>
        </is>
      </c>
      <c r="D167" s="5" t="inlineStr">
        <is>
          <t>Tulisan tabung neon menyala di dinding malam; ada yang berkedip.</t>
        </is>
      </c>
      <c r="E167" s="22" t="inlineStr">
        <is>
          <t>Sudah</t>
        </is>
      </c>
      <c r="F167" s="9" t="inlineStr">
        <is>
          <t>SN02</t>
        </is>
      </c>
      <c r="G167" s="9" t="n">
        <v>2</v>
      </c>
      <c r="H167" s="9" t="n">
        <v>9</v>
      </c>
      <c r="I167" s="9" t="n">
        <v>7</v>
      </c>
      <c r="J167" s="26">
        <f>IF(E167="Tidak cocok","",ROUND(H167*W_GAYA_WOW+I167*W_GAYA_MEREK+(11-2*G167)*W_GAYA_MUDAH,1))</f>
        <v/>
      </c>
      <c r="K167" s="9">
        <f>IF(Z167=1,COUNTIFS($B$2:$B$254,B167,$AA$2:$AA$254,"&gt;"&amp;AA167)+1,"—")</f>
        <v/>
      </c>
      <c r="L167" s="9" t="n">
        <v>5</v>
      </c>
      <c r="M167" s="11" t="inlineStr">
        <is>
          <t>Cooked vs Chill</t>
        </is>
      </c>
      <c r="N167" s="9" t="inlineStr">
        <is>
          <t>Relate</t>
        </is>
      </c>
      <c r="O167" s="5" t="inlineStr">
        <is>
          <t>“Jam 3 pagi, insiden. DPO A vs DPO B.”</t>
        </is>
      </c>
      <c r="P167" s="5" t="inlineStr">
        <is>
          <t>Layar terbagi: neon merah COOKED berkedip panik · neon biru CHILL tenang → bedanya: alur siap → CTA</t>
        </is>
      </c>
      <c r="Q167" s="24" t="n">
        <v>0.6</v>
      </c>
      <c r="R167" s="27">
        <f>IF(Q167="","",1-Q167)</f>
        <v/>
      </c>
      <c r="S167" s="5">
        <f>IF(Q167="","—",TEXT(1-Q167,"0%")&amp;" edukasi · "&amp;TEXT(Q167,"0%")&amp;" meme")</f>
        <v/>
      </c>
      <c r="T167" s="5" t="inlineStr">
        <is>
          <t>Manajemen Insiden</t>
        </is>
      </c>
      <c r="U167" s="5" t="inlineStr">
        <is>
          <t>breach-detail</t>
        </is>
      </c>
      <c r="V167" s="9" t="inlineStr">
        <is>
          <t>20 dtk</t>
        </is>
      </c>
      <c r="W167" s="5" t="inlineStr">
        <is>
          <t>A44</t>
        </is>
      </c>
      <c r="X167" s="5" t="inlineStr">
        <is>
          <t>text-shadow berlapis; kedip dari hash; pantulan di lantai.</t>
        </is>
      </c>
      <c r="Y167" s="5" t="inlineStr"/>
      <c r="Z167" s="5">
        <f>IF(OR(E167="Bisa",E167="Berat"),1,0)</f>
        <v/>
      </c>
      <c r="AA167" s="5">
        <f>IF(Z167=1,J167-ROW()/100000,"")</f>
        <v/>
      </c>
      <c r="AB167" s="5">
        <f>B167&amp;"|"&amp;K167</f>
        <v/>
      </c>
    </row>
    <row r="168" ht="78" customHeight="1">
      <c r="A168" s="19" t="inlineStr">
        <is>
          <t>SN03</t>
        </is>
      </c>
      <c r="B168" s="20" t="inlineStr">
        <is>
          <t>Sinematik &amp; retro</t>
        </is>
      </c>
      <c r="C168" s="21" t="inlineStr">
        <is>
          <t>VHS / camcorder</t>
        </is>
      </c>
      <c r="D168" s="20" t="inlineStr">
        <is>
          <t>Rekaman kaset: garis tracking, warna bergeser, tulisan REC.</t>
        </is>
      </c>
      <c r="E168" s="28" t="inlineStr">
        <is>
          <t>Bisa</t>
        </is>
      </c>
      <c r="F168" s="19" t="inlineStr"/>
      <c r="G168" s="19" t="n">
        <v>2</v>
      </c>
      <c r="H168" s="19" t="n">
        <v>8</v>
      </c>
      <c r="I168" s="19" t="n">
        <v>7</v>
      </c>
      <c r="J168" s="23">
        <f>IF(E168="Tidak cocok","",ROUND(H168*W_GAYA_WOW+I168*W_GAYA_MEREK+(11-2*G168)*W_GAYA_MUDAH,1))</f>
        <v/>
      </c>
      <c r="K168" s="19">
        <f>IF(Z168=1,COUNTIFS($B$2:$B$254,B168,$AA$2:$AA$254,"&gt;"&amp;AA168)+1,"—")</f>
        <v/>
      </c>
      <c r="L168" s="19" t="n">
        <v>5</v>
      </c>
      <c r="M168" s="21" t="inlineStr">
        <is>
          <t>Rekaman 2016</t>
        </is>
      </c>
      <c r="N168" s="19" t="inlineStr">
        <is>
          <t>Relate</t>
        </is>
      </c>
      <c r="O168" s="20" t="inlineStr">
        <is>
          <t>“Rekaman kantor, 2016: ‘datanya simpan di flashdisk saja’.”</t>
        </is>
      </c>
      <c r="P168" s="20" t="inlineStr">
        <is>
          <t>Rekaman VHS 2016 → rewind → 2026: register &amp; log audit → CTA</t>
        </is>
      </c>
      <c r="Q168" s="24" t="n">
        <v>0.5</v>
      </c>
      <c r="R168" s="25">
        <f>IF(Q168="","",1-Q168)</f>
        <v/>
      </c>
      <c r="S168" s="20">
        <f>IF(Q168="","—",TEXT(1-Q168,"0%")&amp;" edukasi · "&amp;TEXT(Q168,"0%")&amp;" meme")</f>
        <v/>
      </c>
      <c r="T168" s="20" t="inlineStr">
        <is>
          <t>Platform</t>
        </is>
      </c>
      <c r="U168" s="20" t="inlineStr">
        <is>
          <t>dashboard</t>
        </is>
      </c>
      <c r="V168" s="19" t="inlineStr">
        <is>
          <t>15 dtk</t>
        </is>
      </c>
      <c r="W168" s="20" t="inlineStr">
        <is>
          <t>A17 / P13</t>
        </is>
      </c>
      <c r="X168" s="20" t="inlineStr">
        <is>
          <t>Offset kanal warna; pita noise bergerak; cap tanggal.</t>
        </is>
      </c>
      <c r="Y168" s="20" t="inlineStr"/>
      <c r="Z168" s="20">
        <f>IF(OR(E168="Bisa",E168="Berat"),1,0)</f>
        <v/>
      </c>
      <c r="AA168" s="20">
        <f>IF(Z168=1,J168-ROW()/100000,"")</f>
        <v/>
      </c>
      <c r="AB168" s="20">
        <f>B168&amp;"|"&amp;K168</f>
        <v/>
      </c>
    </row>
    <row r="169" ht="78" customHeight="1">
      <c r="A169" s="9" t="inlineStr">
        <is>
          <t>SN04</t>
        </is>
      </c>
      <c r="B169" s="5" t="inlineStr">
        <is>
          <t>Sinematik &amp; retro</t>
        </is>
      </c>
      <c r="C169" s="11" t="inlineStr">
        <is>
          <t>Synthwave (grid 80-an)</t>
        </is>
      </c>
      <c r="D169" s="5" t="inlineStr">
        <is>
          <t>Grid ungu menuju cakrawala, matahari bergaris, pegunungan garis.</t>
        </is>
      </c>
      <c r="E169" s="28" t="inlineStr">
        <is>
          <t>Bisa</t>
        </is>
      </c>
      <c r="F169" s="9" t="inlineStr"/>
      <c r="G169" s="9" t="n">
        <v>2</v>
      </c>
      <c r="H169" s="9" t="n">
        <v>8</v>
      </c>
      <c r="I169" s="9" t="n">
        <v>6</v>
      </c>
      <c r="J169" s="26">
        <f>IF(E169="Tidak cocok","",ROUND(H169*W_GAYA_WOW+I169*W_GAYA_MEREK+(11-2*G169)*W_GAYA_MUDAH,1))</f>
        <v/>
      </c>
      <c r="K169" s="9">
        <f>IF(Z169=1,COUNTIFS($B$2:$B$254,B169,$AA$2:$AA$254,"&gt;"&amp;AA169)+1,"—")</f>
        <v/>
      </c>
      <c r="L169" s="9" t="n">
        <v>5</v>
      </c>
      <c r="M169" s="11" t="inlineStr">
        <is>
          <t>Menuju 2027</t>
        </is>
      </c>
      <c r="N169" s="9" t="inlineStr">
        <is>
          <t>Anomali</t>
        </is>
      </c>
      <c r="O169" s="5" t="inlineStr">
        <is>
          <t>“Jalan ini lurus menuju 16 Januari 2027.”</t>
        </is>
      </c>
      <c r="P169" s="5" t="inlineStr">
        <is>
          <t>Melaju di grid → gerbang PP 33 mendekat → daftar siap → CTA</t>
        </is>
      </c>
      <c r="Q169" s="24" t="n">
        <v>0.7</v>
      </c>
      <c r="R169" s="27">
        <f>IF(Q169="","",1-Q169)</f>
        <v/>
      </c>
      <c r="S169" s="5">
        <f>IF(Q169="","—",TEXT(1-Q169,"0%")&amp;" edukasi · "&amp;TEXT(Q169,"0%")&amp;" meme")</f>
        <v/>
      </c>
      <c r="T169" s="5" t="inlineStr">
        <is>
          <t>Program siap PP 33</t>
        </is>
      </c>
      <c r="U169" s="5" t="inlineStr">
        <is>
          <t>—</t>
        </is>
      </c>
      <c r="V169" s="9" t="inlineStr">
        <is>
          <t>15 dtk</t>
        </is>
      </c>
      <c r="W169" s="5" t="inlineStr">
        <is>
          <t>A23</t>
        </is>
      </c>
      <c r="X169" s="5" t="inlineStr">
        <is>
          <t>Grid perspektif bergerak; gradasi matahari; garis neon.</t>
        </is>
      </c>
      <c r="Y169" s="5" t="inlineStr"/>
      <c r="Z169" s="5">
        <f>IF(OR(E169="Bisa",E169="Berat"),1,0)</f>
        <v/>
      </c>
      <c r="AA169" s="5">
        <f>IF(Z169=1,J169-ROW()/100000,"")</f>
        <v/>
      </c>
      <c r="AB169" s="5">
        <f>B169&amp;"|"&amp;K169</f>
        <v/>
      </c>
    </row>
    <row r="170" ht="78" customHeight="1">
      <c r="A170" s="19" t="inlineStr">
        <is>
          <t>SN05</t>
        </is>
      </c>
      <c r="B170" s="20" t="inlineStr">
        <is>
          <t>Sinematik &amp; retro</t>
        </is>
      </c>
      <c r="C170" s="21" t="inlineStr">
        <is>
          <t>TV tabung ganti saluran</t>
        </is>
      </c>
      <c r="D170" s="20" t="inlineStr">
        <is>
          <t>Layar TV lama; saluran berganti dengan semut dan bunyi klik.</t>
        </is>
      </c>
      <c r="E170" s="28" t="inlineStr">
        <is>
          <t>Bisa</t>
        </is>
      </c>
      <c r="F170" s="19" t="inlineStr"/>
      <c r="G170" s="19" t="n">
        <v>2</v>
      </c>
      <c r="H170" s="19" t="n">
        <v>8</v>
      </c>
      <c r="I170" s="19" t="n">
        <v>7</v>
      </c>
      <c r="J170" s="23">
        <f>IF(E170="Tidak cocok","",ROUND(H170*W_GAYA_WOW+I170*W_GAYA_MEREK+(11-2*G170)*W_GAYA_MUDAH,1))</f>
        <v/>
      </c>
      <c r="K170" s="19">
        <f>IF(Z170=1,COUNTIFS($B$2:$B$254,B170,$AA$2:$AA$254,"&gt;"&amp;AA170)+1,"—")</f>
        <v/>
      </c>
      <c r="L170" s="19" t="n">
        <v>5</v>
      </c>
      <c r="M170" s="21" t="inlineStr">
        <is>
          <t>Ganti Saluran</t>
        </is>
      </c>
      <c r="N170" s="19" t="inlineStr">
        <is>
          <t>Anomali</t>
        </is>
      </c>
      <c r="O170" s="20" t="inlineStr">
        <is>
          <t>“Ganti saluran pun percuma. Beritanya sama.”</t>
        </is>
      </c>
      <c r="P170" s="20" t="inlineStr">
        <is>
          <t>Saluran 1–3: judul kebocoran data (fiktif) → saluran 4: latihan insiden → CTA</t>
        </is>
      </c>
      <c r="Q170" s="24" t="n">
        <v>0.5</v>
      </c>
      <c r="R170" s="25">
        <f>IF(Q170="","",1-Q170)</f>
        <v/>
      </c>
      <c r="S170" s="20">
        <f>IF(Q170="","—",TEXT(1-Q170,"0%")&amp;" edukasi · "&amp;TEXT(Q170,"0%")&amp;" meme")</f>
        <v/>
      </c>
      <c r="T170" s="20" t="inlineStr">
        <is>
          <t>Simulasi &amp; Fire Drill, Insiden</t>
        </is>
      </c>
      <c r="U170" s="20" t="inlineStr">
        <is>
          <t>fire-drill-header</t>
        </is>
      </c>
      <c r="V170" s="19" t="inlineStr">
        <is>
          <t>15 dtk</t>
        </is>
      </c>
      <c r="W170" s="20" t="inlineStr">
        <is>
          <t>Baru</t>
        </is>
      </c>
      <c r="X170" s="20" t="inlineStr">
        <is>
          <t>Noise kanvas; garis lipat; isi tiap saluran kartu teks.</t>
        </is>
      </c>
      <c r="Y170" s="20" t="inlineStr">
        <is>
          <t>Judul berita fiktif; tanpa logo stasiun TV.</t>
        </is>
      </c>
      <c r="Z170" s="20">
        <f>IF(OR(E170="Bisa",E170="Berat"),1,0)</f>
        <v/>
      </c>
      <c r="AA170" s="20">
        <f>IF(Z170=1,J170-ROW()/100000,"")</f>
        <v/>
      </c>
      <c r="AB170" s="20">
        <f>B170&amp;"|"&amp;K170</f>
        <v/>
      </c>
    </row>
    <row r="171" ht="78" customHeight="1">
      <c r="A171" s="9" t="inlineStr">
        <is>
          <t>SN06</t>
        </is>
      </c>
      <c r="B171" s="5" t="inlineStr">
        <is>
          <t>Sinematik &amp; retro</t>
        </is>
      </c>
      <c r="C171" s="11" t="inlineStr">
        <is>
          <t>Film noir detektif</t>
        </is>
      </c>
      <c r="D171" s="5" t="inlineStr">
        <is>
          <t>Hitam-putih, bayangan kerai jendela, narasi detektif.</t>
        </is>
      </c>
      <c r="E171" s="28" t="inlineStr">
        <is>
          <t>Bisa</t>
        </is>
      </c>
      <c r="F171" s="9" t="inlineStr"/>
      <c r="G171" s="9" t="n">
        <v>3</v>
      </c>
      <c r="H171" s="9" t="n">
        <v>8</v>
      </c>
      <c r="I171" s="9" t="n">
        <v>7</v>
      </c>
      <c r="J171" s="26">
        <f>IF(E171="Tidak cocok","",ROUND(H171*W_GAYA_WOW+I171*W_GAYA_MEREK+(11-2*G171)*W_GAYA_MUDAH,1))</f>
        <v/>
      </c>
      <c r="K171" s="9">
        <f>IF(Z171=1,COUNTIFS($B$2:$B$254,B171,$AA$2:$AA$254,"&gt;"&amp;AA171)+1,"—")</f>
        <v/>
      </c>
      <c r="L171" s="9" t="n">
        <v>5</v>
      </c>
      <c r="M171" s="11" t="inlineStr">
        <is>
          <t>Kasus Kolom ke-17</t>
        </is>
      </c>
      <c r="N171" s="9" t="inlineStr">
        <is>
          <t>Anomali</t>
        </is>
      </c>
      <c r="O171" s="5" t="inlineStr">
        <is>
          <t>“Malam itu hujan. Dan ada NIK di kolom yang tidak seharusnya.”</t>
        </is>
      </c>
      <c r="P171" s="5" t="inlineStr">
        <is>
          <t>Narasi detektif → petunjuk → pemindaian kolom menemukan → dikaitkan ke RoPA → CTA</t>
        </is>
      </c>
      <c r="Q171" s="24" t="n">
        <v>0.5</v>
      </c>
      <c r="R171" s="27">
        <f>IF(Q171="","",1-Q171)</f>
        <v/>
      </c>
      <c r="S171" s="5">
        <f>IF(Q171="","—",TEXT(1-Q171,"0%")&amp;" edukasi · "&amp;TEXT(Q171,"0%")&amp;" meme")</f>
        <v/>
      </c>
      <c r="T171" s="5" t="inlineStr">
        <is>
          <t>Data Discovery</t>
        </is>
      </c>
      <c r="U171" s="5" t="inlineStr">
        <is>
          <t>—</t>
        </is>
      </c>
      <c r="V171" s="9" t="inlineStr">
        <is>
          <t>20 dtk</t>
        </is>
      </c>
      <c r="W171" s="5" t="inlineStr">
        <is>
          <t>M15 (varian)</t>
        </is>
      </c>
      <c r="X171" s="5" t="inlineStr">
        <is>
          <t>Garis bayangan bergerak; grain; teks narasi serif.</t>
        </is>
      </c>
      <c r="Y171" s="5" t="inlineStr"/>
      <c r="Z171" s="5">
        <f>IF(OR(E171="Bisa",E171="Berat"),1,0)</f>
        <v/>
      </c>
      <c r="AA171" s="5">
        <f>IF(Z171=1,J171-ROW()/100000,"")</f>
        <v/>
      </c>
      <c r="AB171" s="5">
        <f>B171&amp;"|"&amp;K171</f>
        <v/>
      </c>
    </row>
    <row r="172" ht="78" customHeight="1">
      <c r="A172" s="19" t="inlineStr">
        <is>
          <t>SN07</t>
        </is>
      </c>
      <c r="B172" s="20" t="inlineStr">
        <is>
          <t>Sinematik &amp; retro</t>
        </is>
      </c>
      <c r="C172" s="21" t="inlineStr">
        <is>
          <t>Title sequence potongan kertas</t>
        </is>
      </c>
      <c r="D172" s="20" t="inlineStr">
        <is>
          <t>Bentuk geometris tajam dan huruf miring ala pembuka film lama.</t>
        </is>
      </c>
      <c r="E172" s="22" t="inlineStr">
        <is>
          <t>Sudah</t>
        </is>
      </c>
      <c r="F172" s="19" t="inlineStr">
        <is>
          <t>SN07</t>
        </is>
      </c>
      <c r="G172" s="19" t="n">
        <v>3</v>
      </c>
      <c r="H172" s="19" t="n">
        <v>8</v>
      </c>
      <c r="I172" s="19" t="n">
        <v>8</v>
      </c>
      <c r="J172" s="23">
        <f>IF(E172="Tidak cocok","",ROUND(H172*W_GAYA_WOW+I172*W_GAYA_MEREK+(11-2*G172)*W_GAYA_MUDAH,1))</f>
        <v/>
      </c>
      <c r="K172" s="19">
        <f>IF(Z172=1,COUNTIFS($B$2:$B$254,B172,$AA$2:$AA$254,"&gt;"&amp;AA172)+1,"—")</f>
        <v/>
      </c>
      <c r="L172" s="19" t="n">
        <v>5</v>
      </c>
      <c r="M172" s="21" t="inlineStr">
        <is>
          <t>Pembuka</t>
        </is>
      </c>
      <c r="N172" s="19" t="inlineStr">
        <is>
          <t>Anomali</t>
        </is>
      </c>
      <c r="O172" s="20" t="inlineStr">
        <is>
          <t>“Dipersembahkan oleh: tenggat yang tidak menunggu.”</t>
        </is>
      </c>
      <c r="P172" s="20" t="inlineStr">
        <is>
          <t>Kredit pembuka: “menampilkan RoPA… DPIA… DSR…” → judul: Privasimu Nexus → CTA</t>
        </is>
      </c>
      <c r="Q172" s="24" t="n">
        <v>0.3</v>
      </c>
      <c r="R172" s="25">
        <f>IF(Q172="","",1-Q172)</f>
        <v/>
      </c>
      <c r="S172" s="20">
        <f>IF(Q172="","—",TEXT(1-Q172,"0%")&amp;" edukasi · "&amp;TEXT(Q172,"0%")&amp;" meme")</f>
        <v/>
      </c>
      <c r="T172" s="20" t="inlineStr">
        <is>
          <t>Platform</t>
        </is>
      </c>
      <c r="U172" s="20" t="inlineStr">
        <is>
          <t>—</t>
        </is>
      </c>
      <c r="V172" s="19" t="inlineStr">
        <is>
          <t>15 dtk</t>
        </is>
      </c>
      <c r="W172" s="20" t="inlineStr">
        <is>
          <t>Baru (pembuka kampanye)</t>
        </is>
      </c>
      <c r="X172" s="20" t="inlineStr">
        <is>
          <t>Bentuk datar bergerak kaku; palet 3 warna; tipografi tebal.</t>
        </is>
      </c>
      <c r="Y172" s="20" t="inlineStr">
        <is>
          <t>Gaya umum era itu; jangan meniru judul film tertentu.</t>
        </is>
      </c>
      <c r="Z172" s="20">
        <f>IF(OR(E172="Bisa",E172="Berat"),1,0)</f>
        <v/>
      </c>
      <c r="AA172" s="20">
        <f>IF(Z172=1,J172-ROW()/100000,"")</f>
        <v/>
      </c>
      <c r="AB172" s="20">
        <f>B172&amp;"|"&amp;K172</f>
        <v/>
      </c>
    </row>
    <row r="173" ht="78" customHeight="1">
      <c r="A173" s="9" t="inlineStr">
        <is>
          <t>SN08</t>
        </is>
      </c>
      <c r="B173" s="5" t="inlineStr">
        <is>
          <t>Sinematik &amp; retro</t>
        </is>
      </c>
      <c r="C173" s="11" t="inlineStr">
        <is>
          <t>Film bisu (kartu teks)</t>
        </is>
      </c>
      <c r="D173" s="5" t="inlineStr">
        <is>
          <t>Hitam-putih berkedip; dialog tampil di kartu teks berornamen; iringan piano.</t>
        </is>
      </c>
      <c r="E173" s="22" t="inlineStr">
        <is>
          <t>Sudah</t>
        </is>
      </c>
      <c r="F173" s="9" t="inlineStr">
        <is>
          <t>SN08</t>
        </is>
      </c>
      <c r="G173" s="9" t="n">
        <v>2</v>
      </c>
      <c r="H173" s="9" t="n">
        <v>9</v>
      </c>
      <c r="I173" s="9" t="n">
        <v>7</v>
      </c>
      <c r="J173" s="26">
        <f>IF(E173="Tidak cocok","",ROUND(H173*W_GAYA_WOW+I173*W_GAYA_MEREK+(11-2*G173)*W_GAYA_MUDAH,1))</f>
        <v/>
      </c>
      <c r="K173" s="9">
        <f>IF(Z173=1,COUNTIFS($B$2:$B$254,B173,$AA$2:$AA$254,"&gt;"&amp;AA173)+1,"—")</f>
        <v/>
      </c>
      <c r="L173" s="9" t="n">
        <v>5</v>
      </c>
      <c r="M173" s="11" t="inlineStr">
        <is>
          <t>Auditor Datang</t>
        </is>
      </c>
      <c r="N173" s="9" t="inlineStr">
        <is>
          <t>Relate</t>
        </is>
      </c>
      <c r="O173" s="5" t="inlineStr">
        <is>
          <t>“Pada suatu pagi yang tenang… auditor datang.”</t>
        </is>
      </c>
      <c r="P173" s="5" t="inlineStr">
        <is>
          <t>Kartu: “RoPA-nya mana?” → panik gaya film bisu → kartu: “Untung sudah tercatat.” → CTA</t>
        </is>
      </c>
      <c r="Q173" s="24" t="n">
        <v>0.5</v>
      </c>
      <c r="R173" s="27">
        <f>IF(Q173="","",1-Q173)</f>
        <v/>
      </c>
      <c r="S173" s="5">
        <f>IF(Q173="","—",TEXT(1-Q173,"0%")&amp;" edukasi · "&amp;TEXT(Q173,"0%")&amp;" meme")</f>
        <v/>
      </c>
      <c r="T173" s="5" t="inlineStr">
        <is>
          <t>GAP, RoPA</t>
        </is>
      </c>
      <c r="U173" s="5" t="inlineStr">
        <is>
          <t>ropa-list-baru</t>
        </is>
      </c>
      <c r="V173" s="9" t="inlineStr">
        <is>
          <t>20 dtk</t>
        </is>
      </c>
      <c r="W173" s="5" t="inlineStr">
        <is>
          <t>A16 (varian)</t>
        </is>
      </c>
      <c r="X173" s="5" t="inlineStr">
        <is>
          <t>Bingkai ornamen; flicker dari hash; goresan film; musik piano synth.</t>
        </is>
      </c>
      <c r="Y173" s="5" t="inlineStr"/>
      <c r="Z173" s="5">
        <f>IF(OR(E173="Bisa",E173="Berat"),1,0)</f>
        <v/>
      </c>
      <c r="AA173" s="5">
        <f>IF(Z173=1,J173-ROW()/100000,"")</f>
        <v/>
      </c>
      <c r="AB173" s="5">
        <f>B173&amp;"|"&amp;K173</f>
        <v/>
      </c>
    </row>
    <row r="174" ht="78" customHeight="1">
      <c r="A174" s="19" t="inlineStr">
        <is>
          <t>SN09</t>
        </is>
      </c>
      <c r="B174" s="20" t="inlineStr">
        <is>
          <t>Sinematik &amp; retro</t>
        </is>
      </c>
      <c r="C174" s="21" t="inlineStr">
        <is>
          <t>Warta berita arsip</t>
        </is>
      </c>
      <c r="D174" s="20" t="inlineStr">
        <is>
          <t>Siaran berita lama hitam-putih dengan narator tegas.</t>
        </is>
      </c>
      <c r="E174" s="28" t="inlineStr">
        <is>
          <t>Bisa</t>
        </is>
      </c>
      <c r="F174" s="19" t="inlineStr"/>
      <c r="G174" s="19" t="n">
        <v>2</v>
      </c>
      <c r="H174" s="19" t="n">
        <v>7</v>
      </c>
      <c r="I174" s="19" t="n">
        <v>7</v>
      </c>
      <c r="J174" s="23">
        <f>IF(E174="Tidak cocok","",ROUND(H174*W_GAYA_WOW+I174*W_GAYA_MEREK+(11-2*G174)*W_GAYA_MUDAH,1))</f>
        <v/>
      </c>
      <c r="K174" s="19">
        <f>IF(Z174=1,COUNTIFS($B$2:$B$254,B174,$AA$2:$AA$254,"&gt;"&amp;AA174)+1,"—")</f>
        <v/>
      </c>
      <c r="L174" s="19" t="n">
        <v>5</v>
      </c>
      <c r="M174" s="21" t="inlineStr">
        <is>
          <t>Warta Kepatuhan</t>
        </is>
      </c>
      <c r="N174" s="19" t="inlineStr">
        <is>
          <t>Anomali</t>
        </is>
      </c>
      <c r="O174" s="20" t="inlineStr">
        <is>
          <t>“Warta hari ini: aturan pelaksana telah terbit.”</t>
        </is>
      </c>
      <c r="P174" s="20" t="inlineStr">
        <is>
          <t>Narator: PP 33 berlaku 16 Januari 2027 → apa yang harus disiapkan → CTA</t>
        </is>
      </c>
      <c r="Q174" s="24" t="n">
        <v>0.5</v>
      </c>
      <c r="R174" s="25">
        <f>IF(Q174="","",1-Q174)</f>
        <v/>
      </c>
      <c r="S174" s="20">
        <f>IF(Q174="","—",TEXT(1-Q174,"0%")&amp;" edukasi · "&amp;TEXT(Q174,"0%")&amp;" meme")</f>
        <v/>
      </c>
      <c r="T174" s="20" t="inlineStr">
        <is>
          <t>Program siap PP 33</t>
        </is>
      </c>
      <c r="U174" s="20" t="inlineStr">
        <is>
          <t>—</t>
        </is>
      </c>
      <c r="V174" s="19" t="inlineStr">
        <is>
          <t>15 dtk</t>
        </is>
      </c>
      <c r="W174" s="20" t="inlineStr">
        <is>
          <t>N01 (varian)</t>
        </is>
      </c>
      <c r="X174" s="20" t="inlineStr">
        <is>
          <t>Bingkai 4:3; grain; judul huruf besar; garis waktu.</t>
        </is>
      </c>
      <c r="Y174" s="20" t="inlineStr">
        <is>
          <t>Tanpa logo/lembaga siaran nyata.</t>
        </is>
      </c>
      <c r="Z174" s="20">
        <f>IF(OR(E174="Bisa",E174="Berat"),1,0)</f>
        <v/>
      </c>
      <c r="AA174" s="20">
        <f>IF(Z174=1,J174-ROW()/100000,"")</f>
        <v/>
      </c>
      <c r="AB174" s="20">
        <f>B174&amp;"|"&amp;K174</f>
        <v/>
      </c>
    </row>
    <row r="175" ht="78" customHeight="1">
      <c r="A175" s="9" t="inlineStr">
        <is>
          <t>SN10</t>
        </is>
      </c>
      <c r="B175" s="5" t="inlineStr">
        <is>
          <t>Sinematik &amp; retro</t>
        </is>
      </c>
      <c r="C175" s="11" t="inlineStr">
        <is>
          <t>Panggung &amp; lampu sorot</t>
        </is>
      </c>
      <c r="D175" s="5" t="inlineStr">
        <is>
          <t>Panggung gelap; satu lampu sorot menyapu lalu berhenti.</t>
        </is>
      </c>
      <c r="E175" s="28" t="inlineStr">
        <is>
          <t>Bisa</t>
        </is>
      </c>
      <c r="F175" s="9" t="inlineStr"/>
      <c r="G175" s="9" t="n">
        <v>2</v>
      </c>
      <c r="H175" s="9" t="n">
        <v>7</v>
      </c>
      <c r="I175" s="9" t="n">
        <v>8</v>
      </c>
      <c r="J175" s="26">
        <f>IF(E175="Tidak cocok","",ROUND(H175*W_GAYA_WOW+I175*W_GAYA_MEREK+(11-2*G175)*W_GAYA_MUDAH,1))</f>
        <v/>
      </c>
      <c r="K175" s="9">
        <f>IF(Z175=1,COUNTIFS($B$2:$B$254,B175,$AA$2:$AA$254,"&gt;"&amp;AA175)+1,"—")</f>
        <v/>
      </c>
      <c r="L175" s="9" t="n">
        <v>5</v>
      </c>
      <c r="M175" s="11" t="inlineStr">
        <is>
          <t>Di Bawah Lampu Sorot</t>
        </is>
      </c>
      <c r="N175" s="9" t="inlineStr">
        <is>
          <t>Anomali</t>
        </is>
      </c>
      <c r="O175" s="5" t="inlineStr">
        <is>
          <t>“Lampu sorot ini akan berhenti di satu divisi.”</t>
        </is>
      </c>
      <c r="P175" s="5" t="inlineStr">
        <is>
          <t>Lampu menyapu Legal, IT, Marketing → berhenti: “yang belum tercatat” → GAP → CTA</t>
        </is>
      </c>
      <c r="Q175" s="24" t="n">
        <v>0.3</v>
      </c>
      <c r="R175" s="27">
        <f>IF(Q175="","",1-Q175)</f>
        <v/>
      </c>
      <c r="S175" s="5">
        <f>IF(Q175="","—",TEXT(1-Q175,"0%")&amp;" edukasi · "&amp;TEXT(Q175,"0%")&amp;" meme")</f>
        <v/>
      </c>
      <c r="T175" s="5" t="inlineStr">
        <is>
          <t>GAP Assessment</t>
        </is>
      </c>
      <c r="U175" s="5" t="inlineStr">
        <is>
          <t>—</t>
        </is>
      </c>
      <c r="V175" s="9" t="inlineStr">
        <is>
          <t>15 dtk</t>
        </is>
      </c>
      <c r="W175" s="5" t="inlineStr">
        <is>
          <t>Baru</t>
        </is>
      </c>
      <c r="X175" s="5" t="inlineStr">
        <is>
          <t>Kerucut cahaya (gradient) bergerak; debu melayang.</t>
        </is>
      </c>
      <c r="Y175" s="5" t="inlineStr"/>
      <c r="Z175" s="5">
        <f>IF(OR(E175="Bisa",E175="Berat"),1,0)</f>
        <v/>
      </c>
      <c r="AA175" s="5">
        <f>IF(Z175=1,J175-ROW()/100000,"")</f>
        <v/>
      </c>
      <c r="AB175" s="5">
        <f>B175&amp;"|"&amp;K175</f>
        <v/>
      </c>
    </row>
    <row r="176" ht="78" customHeight="1">
      <c r="A176" s="19" t="inlineStr">
        <is>
          <t>SN11</t>
        </is>
      </c>
      <c r="B176" s="20" t="inlineStr">
        <is>
          <t>Sinematik &amp; retro</t>
        </is>
      </c>
      <c r="C176" s="21" t="inlineStr">
        <is>
          <t>Partikel / jaringan titik-garis</t>
        </is>
      </c>
      <c r="D176" s="20" t="inlineStr">
        <is>
          <t>Titik melayang terhubung garis tipis saat berdekatan.</t>
        </is>
      </c>
      <c r="E176" s="28" t="inlineStr">
        <is>
          <t>Bisa</t>
        </is>
      </c>
      <c r="F176" s="19" t="inlineStr"/>
      <c r="G176" s="19" t="n">
        <v>2</v>
      </c>
      <c r="H176" s="19" t="n">
        <v>6</v>
      </c>
      <c r="I176" s="19" t="n">
        <v>8</v>
      </c>
      <c r="J176" s="23">
        <f>IF(E176="Tidak cocok","",ROUND(H176*W_GAYA_WOW+I176*W_GAYA_MEREK+(11-2*G176)*W_GAYA_MUDAH,1))</f>
        <v/>
      </c>
      <c r="K176" s="19">
        <f>IF(Z176=1,COUNTIFS($B$2:$B$254,B176,$AA$2:$AA$254,"&gt;"&amp;AA176)+1,"—")</f>
        <v/>
      </c>
      <c r="L176" s="19" t="n">
        <v>5</v>
      </c>
      <c r="M176" s="21" t="inlineStr">
        <is>
          <t>Terhubung</t>
        </is>
      </c>
      <c r="N176" s="19" t="inlineStr">
        <is>
          <t>Anomali</t>
        </is>
      </c>
      <c r="O176" s="20" t="inlineStr">
        <is>
          <t>“Tiap titik ini satu catatan.”</t>
        </is>
      </c>
      <c r="P176" s="20" t="inlineStr">
        <is>
          <t>Titik tersebar → terhubung → membentuk logo → CTA</t>
        </is>
      </c>
      <c r="Q176" s="24" t="n">
        <v>0.3</v>
      </c>
      <c r="R176" s="25">
        <f>IF(Q176="","",1-Q176)</f>
        <v/>
      </c>
      <c r="S176" s="20">
        <f>IF(Q176="","—",TEXT(1-Q176,"0%")&amp;" edukasi · "&amp;TEXT(Q176,"0%")&amp;" meme")</f>
        <v/>
      </c>
      <c r="T176" s="20" t="inlineStr">
        <is>
          <t>Platform</t>
        </is>
      </c>
      <c r="U176" s="20" t="inlineStr">
        <is>
          <t>—</t>
        </is>
      </c>
      <c r="V176" s="19" t="inlineStr">
        <is>
          <t>10 dtk</t>
        </is>
      </c>
      <c r="W176" s="20" t="inlineStr">
        <is>
          <t>Baru (bumper)</t>
        </is>
      </c>
      <c r="X176" s="20" t="inlineStr">
        <is>
          <t>Canvas: posisi titik dari rumus; garis bila jarak &lt; ambang.</t>
        </is>
      </c>
      <c r="Y176" s="20" t="inlineStr"/>
      <c r="Z176" s="20">
        <f>IF(OR(E176="Bisa",E176="Berat"),1,0)</f>
        <v/>
      </c>
      <c r="AA176" s="20">
        <f>IF(Z176=1,J176-ROW()/100000,"")</f>
        <v/>
      </c>
      <c r="AB176" s="20">
        <f>B176&amp;"|"&amp;K176</f>
        <v/>
      </c>
    </row>
    <row r="177" ht="78" customHeight="1">
      <c r="A177" s="9" t="inlineStr">
        <is>
          <t>SN12</t>
        </is>
      </c>
      <c r="B177" s="5" t="inlineStr">
        <is>
          <t>Sinematik &amp; retro</t>
        </is>
      </c>
      <c r="C177" s="11" t="inlineStr">
        <is>
          <t>Bokeh malam</t>
        </is>
      </c>
      <c r="D177" s="5" t="inlineStr">
        <is>
          <t>Lampu kota buram di latar; teks tajam di depan.</t>
        </is>
      </c>
      <c r="E177" s="28" t="inlineStr">
        <is>
          <t>Bisa</t>
        </is>
      </c>
      <c r="F177" s="9" t="inlineStr"/>
      <c r="G177" s="9" t="n">
        <v>2</v>
      </c>
      <c r="H177" s="9" t="n">
        <v>6</v>
      </c>
      <c r="I177" s="9" t="n">
        <v>8</v>
      </c>
      <c r="J177" s="26">
        <f>IF(E177="Tidak cocok","",ROUND(H177*W_GAYA_WOW+I177*W_GAYA_MEREK+(11-2*G177)*W_GAYA_MUDAH,1))</f>
        <v/>
      </c>
      <c r="K177" s="9">
        <f>IF(Z177=1,COUNTIFS($B$2:$B$254,B177,$AA$2:$AA$254,"&gt;"&amp;AA177)+1,"—")</f>
        <v/>
      </c>
      <c r="L177" s="9" t="n">
        <v>5</v>
      </c>
      <c r="M177" s="11" t="inlineStr">
        <is>
          <t>Malam Sebelum Audit</t>
        </is>
      </c>
      <c r="N177" s="9" t="inlineStr">
        <is>
          <t>Relate</t>
        </is>
      </c>
      <c r="O177" s="5" t="inlineStr">
        <is>
          <t>“Malam sebelum audit. Kantor sudah gelap, satu layar masih menyala.”</t>
        </is>
      </c>
      <c r="P177" s="5" t="inlineStr">
        <is>
          <t>Suasana malam → layar menyala: dasbor → “besok cukup buka ini” → CTA</t>
        </is>
      </c>
      <c r="Q177" s="24" t="n">
        <v>0.3</v>
      </c>
      <c r="R177" s="27">
        <f>IF(Q177="","",1-Q177)</f>
        <v/>
      </c>
      <c r="S177" s="5">
        <f>IF(Q177="","—",TEXT(1-Q177,"0%")&amp;" edukasi · "&amp;TEXT(Q177,"0%")&amp;" meme")</f>
        <v/>
      </c>
      <c r="T177" s="5" t="inlineStr">
        <is>
          <t>Dasbor kepatuhan</t>
        </is>
      </c>
      <c r="U177" s="5" t="inlineStr">
        <is>
          <t>dashboard</t>
        </is>
      </c>
      <c r="V177" s="9" t="inlineStr">
        <is>
          <t>15 dtk</t>
        </is>
      </c>
      <c r="W177" s="5" t="inlineStr">
        <is>
          <t>Baru</t>
        </is>
      </c>
      <c r="X177" s="5" t="inlineStr">
        <is>
          <t>Lingkaran blur bergerak pelan; fokus bergeser.</t>
        </is>
      </c>
      <c r="Y177" s="5" t="inlineStr"/>
      <c r="Z177" s="5">
        <f>IF(OR(E177="Bisa",E177="Berat"),1,0)</f>
        <v/>
      </c>
      <c r="AA177" s="5">
        <f>IF(Z177=1,J177-ROW()/100000,"")</f>
        <v/>
      </c>
      <c r="AB177" s="5">
        <f>B177&amp;"|"&amp;K177</f>
        <v/>
      </c>
    </row>
    <row r="178" ht="78" customHeight="1">
      <c r="A178" s="19" t="inlineStr">
        <is>
          <t>SN13</t>
        </is>
      </c>
      <c r="B178" s="20" t="inlineStr">
        <is>
          <t>Sinematik &amp; retro</t>
        </is>
      </c>
      <c r="C178" s="21" t="inlineStr">
        <is>
          <t>Peluncuran roket</t>
        </is>
      </c>
      <c r="D178" s="20" t="inlineStr">
        <is>
          <t>Hitung mundur peluncuran; roket garis sederhana lepas landas.</t>
        </is>
      </c>
      <c r="E178" s="22" t="inlineStr">
        <is>
          <t>Sudah</t>
        </is>
      </c>
      <c r="F178" s="19" t="inlineStr">
        <is>
          <t>SN13</t>
        </is>
      </c>
      <c r="G178" s="19" t="n">
        <v>3</v>
      </c>
      <c r="H178" s="19" t="n">
        <v>8</v>
      </c>
      <c r="I178" s="19" t="n">
        <v>8</v>
      </c>
      <c r="J178" s="23">
        <f>IF(E178="Tidak cocok","",ROUND(H178*W_GAYA_WOW+I178*W_GAYA_MEREK+(11-2*G178)*W_GAYA_MUDAH,1))</f>
        <v/>
      </c>
      <c r="K178" s="19">
        <f>IF(Z178=1,COUNTIFS($B$2:$B$254,B178,$AA$2:$AA$254,"&gt;"&amp;AA178)+1,"—")</f>
        <v/>
      </c>
      <c r="L178" s="19" t="n">
        <v>5</v>
      </c>
      <c r="M178" s="21" t="inlineStr">
        <is>
          <t>Nilai Dulu, Baru Meluncur</t>
        </is>
      </c>
      <c r="N178" s="19" t="inlineStr">
        <is>
          <t>Anomali</t>
        </is>
      </c>
      <c r="O178" s="20" t="inlineStr">
        <is>
          <t>“Proyek paling berisiko di kantormu biasanya yang paling ditunggu-tunggu.”</t>
        </is>
      </c>
      <c r="P178" s="20" t="inlineStr">
        <is>
          <t>Hitung mundur 3-2-… berhenti: “DPIA?” → penilaian selesai → meluncur → CTA</t>
        </is>
      </c>
      <c r="Q178" s="24" t="n">
        <v>0.3</v>
      </c>
      <c r="R178" s="25">
        <f>IF(Q178="","",1-Q178)</f>
        <v/>
      </c>
      <c r="S178" s="20">
        <f>IF(Q178="","—",TEXT(1-Q178,"0%")&amp;" edukasi · "&amp;TEXT(Q178,"0%")&amp;" meme")</f>
        <v/>
      </c>
      <c r="T178" s="20" t="inlineStr">
        <is>
          <t>DPIA</t>
        </is>
      </c>
      <c r="U178" s="20" t="inlineStr">
        <is>
          <t>dpia-risiko</t>
        </is>
      </c>
      <c r="V178" s="19" t="inlineStr">
        <is>
          <t>15 dtk</t>
        </is>
      </c>
      <c r="W178" s="20" t="inlineStr">
        <is>
          <t>M05</t>
        </is>
      </c>
      <c r="X178" s="20" t="inlineStr">
        <is>
          <t>Hitung mundur besar; asap partikel; guncangan kamera.</t>
        </is>
      </c>
      <c r="Y178" s="20" t="inlineStr"/>
      <c r="Z178" s="20">
        <f>IF(OR(E178="Bisa",E178="Berat"),1,0)</f>
        <v/>
      </c>
      <c r="AA178" s="20">
        <f>IF(Z178=1,J178-ROW()/100000,"")</f>
        <v/>
      </c>
      <c r="AB178" s="20">
        <f>B178&amp;"|"&amp;K178</f>
        <v/>
      </c>
    </row>
    <row r="179" ht="78" customHeight="1">
      <c r="A179" s="9" t="inlineStr">
        <is>
          <t>SN14</t>
        </is>
      </c>
      <c r="B179" s="5" t="inlineStr">
        <is>
          <t>Sinematik &amp; retro</t>
        </is>
      </c>
      <c r="C179" s="11" t="inlineStr">
        <is>
          <t>Hujan karakter</t>
        </is>
      </c>
      <c r="D179" s="5" t="inlineStr">
        <is>
          <t>Kolom karakter jatuh seperti hujan di layar gelap.</t>
        </is>
      </c>
      <c r="E179" s="22" t="inlineStr">
        <is>
          <t>Sudah</t>
        </is>
      </c>
      <c r="F179" s="9" t="inlineStr">
        <is>
          <t>SN14</t>
        </is>
      </c>
      <c r="G179" s="9" t="n">
        <v>2</v>
      </c>
      <c r="H179" s="9" t="n">
        <v>7</v>
      </c>
      <c r="I179" s="9" t="n">
        <v>7</v>
      </c>
      <c r="J179" s="26">
        <f>IF(E179="Tidak cocok","",ROUND(H179*W_GAYA_WOW+I179*W_GAYA_MEREK+(11-2*G179)*W_GAYA_MUDAH,1))</f>
        <v/>
      </c>
      <c r="K179" s="9">
        <f>IF(Z179=1,COUNTIFS($B$2:$B$254,B179,$AA$2:$AA$254,"&gt;"&amp;AA179)+1,"—")</f>
        <v/>
      </c>
      <c r="L179" s="9" t="n">
        <v>5</v>
      </c>
      <c r="M179" s="11" t="inlineStr">
        <is>
          <t>Hujan Data</t>
        </is>
      </c>
      <c r="N179" s="9" t="inlineStr">
        <is>
          <t>Anomali</t>
        </is>
      </c>
      <c r="O179" s="5" t="inlineStr">
        <is>
          <t>“Di antara hujan ini ada 1 NIK. Temukan.”</t>
        </is>
      </c>
      <c r="P179" s="5" t="inlineStr">
        <is>
          <t>Hujan karakter → satu rangkaian menyala merah: NIK → pemindaian menemukan → CTA</t>
        </is>
      </c>
      <c r="Q179" s="24" t="n">
        <v>0.5</v>
      </c>
      <c r="R179" s="27">
        <f>IF(Q179="","",1-Q179)</f>
        <v/>
      </c>
      <c r="S179" s="5">
        <f>IF(Q179="","—",TEXT(1-Q179,"0%")&amp;" edukasi · "&amp;TEXT(Q179,"0%")&amp;" meme")</f>
        <v/>
      </c>
      <c r="T179" s="5" t="inlineStr">
        <is>
          <t>Data Discovery</t>
        </is>
      </c>
      <c r="U179" s="5" t="inlineStr">
        <is>
          <t>—</t>
        </is>
      </c>
      <c r="V179" s="9" t="inlineStr">
        <is>
          <t>15 dtk</t>
        </is>
      </c>
      <c r="W179" s="5" t="inlineStr">
        <is>
          <t>Baru</t>
        </is>
      </c>
      <c r="X179" s="5" t="inlineStr">
        <is>
          <t>Kolom teks translateY berkecepatan beda; karakter dari hash.</t>
        </is>
      </c>
      <c r="Y179" s="5" t="inlineStr">
        <is>
          <t>Warna &amp; susunan sendiri; jangan meniru film tertentu.</t>
        </is>
      </c>
      <c r="Z179" s="5">
        <f>IF(OR(E179="Bisa",E179="Berat"),1,0)</f>
        <v/>
      </c>
      <c r="AA179" s="5">
        <f>IF(Z179=1,J179-ROW()/100000,"")</f>
        <v/>
      </c>
      <c r="AB179" s="5">
        <f>B179&amp;"|"&amp;K179</f>
        <v/>
      </c>
    </row>
    <row r="180" ht="78" customHeight="1">
      <c r="A180" s="19" t="inlineStr">
        <is>
          <t>SN15</t>
        </is>
      </c>
      <c r="B180" s="20" t="inlineStr">
        <is>
          <t>Sinematik &amp; retro</t>
        </is>
      </c>
      <c r="C180" s="21" t="inlineStr">
        <is>
          <t>Ruang kendali (HUD)</t>
        </is>
      </c>
      <c r="D180" s="20" t="inlineStr">
        <is>
          <t>Panel-panel tembus pandang bergaya ruang kendali.</t>
        </is>
      </c>
      <c r="E180" s="28" t="inlineStr">
        <is>
          <t>Bisa</t>
        </is>
      </c>
      <c r="F180" s="19" t="inlineStr"/>
      <c r="G180" s="19" t="n">
        <v>3</v>
      </c>
      <c r="H180" s="19" t="n">
        <v>8</v>
      </c>
      <c r="I180" s="19" t="n">
        <v>8</v>
      </c>
      <c r="J180" s="23">
        <f>IF(E180="Tidak cocok","",ROUND(H180*W_GAYA_WOW+I180*W_GAYA_MEREK+(11-2*G180)*W_GAYA_MUDAH,1))</f>
        <v/>
      </c>
      <c r="K180" s="19">
        <f>IF(Z180=1,COUNTIFS($B$2:$B$254,B180,$AA$2:$AA$254,"&gt;"&amp;AA180)+1,"—")</f>
        <v/>
      </c>
      <c r="L180" s="19" t="n">
        <v>5</v>
      </c>
      <c r="M180" s="21" t="inlineStr">
        <is>
          <t>War Room</t>
        </is>
      </c>
      <c r="N180" s="19" t="inlineStr">
        <is>
          <t>Relate</t>
        </is>
      </c>
      <c r="O180" s="20" t="inlineStr">
        <is>
          <t>“Jam 03.07. War room dibuka.”</t>
        </is>
      </c>
      <c r="P180" s="20" t="inlineStr">
        <is>
          <t>Panel peran (RACI) → linimasa → templat pemberitahuan → hitung mundur → CTA</t>
        </is>
      </c>
      <c r="Q180" s="24" t="n">
        <v>0.3</v>
      </c>
      <c r="R180" s="25">
        <f>IF(Q180="","",1-Q180)</f>
        <v/>
      </c>
      <c r="S180" s="20">
        <f>IF(Q180="","—",TEXT(1-Q180,"0%")&amp;" edukasi · "&amp;TEXT(Q180,"0%")&amp;" meme")</f>
        <v/>
      </c>
      <c r="T180" s="20" t="inlineStr">
        <is>
          <t>Manajemen Insiden</t>
        </is>
      </c>
      <c r="U180" s="20" t="inlineStr">
        <is>
          <t>breach-aksi</t>
        </is>
      </c>
      <c r="V180" s="19" t="inlineStr">
        <is>
          <t>20 dtk</t>
        </is>
      </c>
      <c r="W180" s="20" t="inlineStr">
        <is>
          <t>M11</t>
        </is>
      </c>
      <c r="X180" s="20" t="inlineStr">
        <is>
          <t>Panel garis tipis; angka bergerak; lingkaran target.</t>
        </is>
      </c>
      <c r="Y180" s="20" t="inlineStr"/>
      <c r="Z180" s="20">
        <f>IF(OR(E180="Bisa",E180="Berat"),1,0)</f>
        <v/>
      </c>
      <c r="AA180" s="20">
        <f>IF(Z180=1,J180-ROW()/100000,"")</f>
        <v/>
      </c>
      <c r="AB180" s="20">
        <f>B180&amp;"|"&amp;K180</f>
        <v/>
      </c>
    </row>
    <row r="181" ht="78" customHeight="1">
      <c r="A181" s="9" t="inlineStr">
        <is>
          <t>SN16</t>
        </is>
      </c>
      <c r="B181" s="5" t="inlineStr">
        <is>
          <t>Sinematik &amp; retro</t>
        </is>
      </c>
      <c r="C181" s="11" t="inlineStr">
        <is>
          <t>Kamera termal</t>
        </is>
      </c>
      <c r="D181" s="5" t="inlineStr">
        <is>
          <t>Citra termal: biru dingin sampai merah panas.</t>
        </is>
      </c>
      <c r="E181" s="22" t="inlineStr">
        <is>
          <t>Sudah</t>
        </is>
      </c>
      <c r="F181" s="9" t="inlineStr">
        <is>
          <t>SN16</t>
        </is>
      </c>
      <c r="G181" s="9" t="n">
        <v>2</v>
      </c>
      <c r="H181" s="9" t="n">
        <v>8</v>
      </c>
      <c r="I181" s="9" t="n">
        <v>8</v>
      </c>
      <c r="J181" s="26">
        <f>IF(E181="Tidak cocok","",ROUND(H181*W_GAYA_WOW+I181*W_GAYA_MEREK+(11-2*G181)*W_GAYA_MUDAH,1))</f>
        <v/>
      </c>
      <c r="K181" s="9">
        <f>IF(Z181=1,COUNTIFS($B$2:$B$254,B181,$AA$2:$AA$254,"&gt;"&amp;AA181)+1,"—")</f>
        <v/>
      </c>
      <c r="L181" s="9" t="n">
        <v>5</v>
      </c>
      <c r="M181" s="11" t="inlineStr">
        <is>
          <t>Yang Panas</t>
        </is>
      </c>
      <c r="N181" s="9" t="inlineStr">
        <is>
          <t>Anomali</t>
        </is>
      </c>
      <c r="O181" s="5" t="inlineStr">
        <is>
          <t>“Dilihat dengan kamera termal, titik paling panas ada di sini.”</t>
        </is>
      </c>
      <c r="P181" s="5" t="inlineStr">
        <is>
          <t>Citra termal kantor (gambar) → titik panas → matriks risiko 5×5 asli → CTA</t>
        </is>
      </c>
      <c r="Q181" s="24" t="n">
        <v>0.3</v>
      </c>
      <c r="R181" s="27">
        <f>IF(Q181="","",1-Q181)</f>
        <v/>
      </c>
      <c r="S181" s="5">
        <f>IF(Q181="","—",TEXT(1-Q181,"0%")&amp;" edukasi · "&amp;TEXT(Q181,"0%")&amp;" meme")</f>
        <v/>
      </c>
      <c r="T181" s="5" t="inlineStr">
        <is>
          <t>DPIA</t>
        </is>
      </c>
      <c r="U181" s="5" t="inlineStr">
        <is>
          <t>dashboard-risiko</t>
        </is>
      </c>
      <c r="V181" s="9" t="inlineStr">
        <is>
          <t>15 dtk</t>
        </is>
      </c>
      <c r="W181" s="5" t="inlineStr">
        <is>
          <t>Baru</t>
        </is>
      </c>
      <c r="X181" s="5" t="inlineStr">
        <is>
          <t>Peta warna dari gradasi; bercak panas berdenyut.</t>
        </is>
      </c>
      <c r="Y181" s="5" t="inlineStr"/>
      <c r="Z181" s="5">
        <f>IF(OR(E181="Bisa",E181="Berat"),1,0)</f>
        <v/>
      </c>
      <c r="AA181" s="5">
        <f>IF(Z181=1,J181-ROW()/100000,"")</f>
        <v/>
      </c>
      <c r="AB181" s="5">
        <f>B181&amp;"|"&amp;K181</f>
        <v/>
      </c>
    </row>
    <row r="182" ht="78" customHeight="1">
      <c r="A182" s="19" t="inlineStr">
        <is>
          <t>SN17</t>
        </is>
      </c>
      <c r="B182" s="20" t="inlineStr">
        <is>
          <t>Sinematik &amp; retro</t>
        </is>
      </c>
      <c r="C182" s="21" t="inlineStr">
        <is>
          <t>Strip film / lembar kontak</t>
        </is>
      </c>
      <c r="D182" s="20" t="inlineStr">
        <is>
          <t>Deretan bingkai film berlubang; beberapa dilingkari spidol merah.</t>
        </is>
      </c>
      <c r="E182" s="22" t="inlineStr">
        <is>
          <t>Sudah</t>
        </is>
      </c>
      <c r="F182" s="19" t="inlineStr">
        <is>
          <t>SN17</t>
        </is>
      </c>
      <c r="G182" s="19" t="n">
        <v>2</v>
      </c>
      <c r="H182" s="19" t="n">
        <v>7</v>
      </c>
      <c r="I182" s="19" t="n">
        <v>7</v>
      </c>
      <c r="J182" s="23">
        <f>IF(E182="Tidak cocok","",ROUND(H182*W_GAYA_WOW+I182*W_GAYA_MEREK+(11-2*G182)*W_GAYA_MUDAH,1))</f>
        <v/>
      </c>
      <c r="K182" s="19">
        <f>IF(Z182=1,COUNTIFS($B$2:$B$254,B182,$AA$2:$AA$254,"&gt;"&amp;AA182)+1,"—")</f>
        <v/>
      </c>
      <c r="L182" s="19" t="n">
        <v>5</v>
      </c>
      <c r="M182" s="21" t="inlineStr">
        <is>
          <t>36 Bingkai</t>
        </is>
      </c>
      <c r="N182" s="19" t="inlineStr">
        <is>
          <t>Anomali</t>
        </is>
      </c>
      <c r="O182" s="20" t="inlineStr">
        <is>
          <t>“36 bingkai. Hanya 3 yang penting saat insiden.”</t>
        </is>
      </c>
      <c r="P182" s="20" t="inlineStr">
        <is>
          <t>Strip berjalan → 3 bingkai dilingkari: catat, tahan, beri tahu → CTA</t>
        </is>
      </c>
      <c r="Q182" s="24" t="n">
        <v>0.5</v>
      </c>
      <c r="R182" s="25">
        <f>IF(Q182="","",1-Q182)</f>
        <v/>
      </c>
      <c r="S182" s="20">
        <f>IF(Q182="","—",TEXT(1-Q182,"0%")&amp;" edukasi · "&amp;TEXT(Q182,"0%")&amp;" meme")</f>
        <v/>
      </c>
      <c r="T182" s="20" t="inlineStr">
        <is>
          <t>Manajemen Insiden</t>
        </is>
      </c>
      <c r="U182" s="20" t="inlineStr">
        <is>
          <t>breach-fase</t>
        </is>
      </c>
      <c r="V182" s="19" t="inlineStr">
        <is>
          <t>15 dtk</t>
        </is>
      </c>
      <c r="W182" s="20" t="inlineStr">
        <is>
          <t>Baru</t>
        </is>
      </c>
      <c r="X182" s="20" t="inlineStr">
        <is>
          <t>Strip dengan lubang; bingkai berisi kartu; lingkaran digambar.</t>
        </is>
      </c>
      <c r="Y182" s="20" t="inlineStr">
        <is>
          <t>Angka = ilustrasi.</t>
        </is>
      </c>
      <c r="Z182" s="20">
        <f>IF(OR(E182="Bisa",E182="Berat"),1,0)</f>
        <v/>
      </c>
      <c r="AA182" s="20">
        <f>IF(Z182=1,J182-ROW()/100000,"")</f>
        <v/>
      </c>
      <c r="AB182" s="20">
        <f>B182&amp;"|"&amp;K182</f>
        <v/>
      </c>
    </row>
    <row r="183" ht="78" customHeight="1">
      <c r="A183" s="9" t="inlineStr">
        <is>
          <t>SN18</t>
        </is>
      </c>
      <c r="B183" s="5" t="inlineStr">
        <is>
          <t>Sinematik &amp; retro</t>
        </is>
      </c>
      <c r="C183" s="11" t="inlineStr">
        <is>
          <t>Jejak cahaya (light painting)</t>
        </is>
      </c>
      <c r="D183" s="5" t="inlineStr">
        <is>
          <t>Garis cahaya meninggalkan jejak yang memudar pelan.</t>
        </is>
      </c>
      <c r="E183" s="28" t="inlineStr">
        <is>
          <t>Bisa</t>
        </is>
      </c>
      <c r="F183" s="9" t="inlineStr"/>
      <c r="G183" s="9" t="n">
        <v>3</v>
      </c>
      <c r="H183" s="9" t="n">
        <v>8</v>
      </c>
      <c r="I183" s="9" t="n">
        <v>8</v>
      </c>
      <c r="J183" s="26">
        <f>IF(E183="Tidak cocok","",ROUND(H183*W_GAYA_WOW+I183*W_GAYA_MEREK+(11-2*G183)*W_GAYA_MUDAH,1))</f>
        <v/>
      </c>
      <c r="K183" s="9">
        <f>IF(Z183=1,COUNTIFS($B$2:$B$254,B183,$AA$2:$AA$254,"&gt;"&amp;AA183)+1,"—")</f>
        <v/>
      </c>
      <c r="L183" s="9" t="n">
        <v>5</v>
      </c>
      <c r="M183" s="11" t="inlineStr">
        <is>
          <t>Jejak</t>
        </is>
      </c>
      <c r="N183" s="9" t="inlineStr">
        <is>
          <t>Anomali</t>
        </is>
      </c>
      <c r="O183" s="5" t="inlineStr">
        <is>
          <t>“Setiap gerakan meninggalkan jejak.”</t>
        </is>
      </c>
      <c r="P183" s="5" t="inlineStr">
        <is>
          <t>Jejak cahaya mengikuti kursor → jejak = log audit manusia &amp; AI → CTA</t>
        </is>
      </c>
      <c r="Q183" s="24" t="n">
        <v>0.3</v>
      </c>
      <c r="R183" s="27">
        <f>IF(Q183="","",1-Q183)</f>
        <v/>
      </c>
      <c r="S183" s="5">
        <f>IF(Q183="","—",TEXT(1-Q183,"0%")&amp;" edukasi · "&amp;TEXT(Q183,"0%")&amp;" meme")</f>
        <v/>
      </c>
      <c r="T183" s="5" t="inlineStr">
        <is>
          <t>Log audit</t>
        </is>
      </c>
      <c r="U183" s="5" t="inlineStr">
        <is>
          <t>—</t>
        </is>
      </c>
      <c r="V183" s="9" t="inlineStr">
        <is>
          <t>10 dtk</t>
        </is>
      </c>
      <c r="W183" s="5" t="inlineStr">
        <is>
          <t>Baru</t>
        </is>
      </c>
      <c r="X183" s="5" t="inlineStr">
        <is>
          <t>Path dengan ekor memudar; pendar aditif.</t>
        </is>
      </c>
      <c r="Y183" s="5" t="inlineStr"/>
      <c r="Z183" s="5">
        <f>IF(OR(E183="Bisa",E183="Berat"),1,0)</f>
        <v/>
      </c>
      <c r="AA183" s="5">
        <f>IF(Z183=1,J183-ROW()/100000,"")</f>
        <v/>
      </c>
      <c r="AB183" s="5">
        <f>B183&amp;"|"&amp;K183</f>
        <v/>
      </c>
    </row>
    <row r="184" ht="78" customHeight="1">
      <c r="A184" s="19" t="inlineStr">
        <is>
          <t>SN19</t>
        </is>
      </c>
      <c r="B184" s="20" t="inlineStr">
        <is>
          <t>Sinematik &amp; retro</t>
        </is>
      </c>
      <c r="C184" s="21" t="inlineStr">
        <is>
          <t>Hitam-putih + satu warna</t>
        </is>
      </c>
      <c r="D184" s="20" t="inlineStr">
        <is>
          <t>Seluruh layar abu-abu; hanya satu hal berwarna.</t>
        </is>
      </c>
      <c r="E184" s="22" t="inlineStr">
        <is>
          <t>Sudah</t>
        </is>
      </c>
      <c r="F184" s="19" t="inlineStr">
        <is>
          <t>SN19</t>
        </is>
      </c>
      <c r="G184" s="19" t="n">
        <v>1</v>
      </c>
      <c r="H184" s="19" t="n">
        <v>7</v>
      </c>
      <c r="I184" s="19" t="n">
        <v>9</v>
      </c>
      <c r="J184" s="23">
        <f>IF(E184="Tidak cocok","",ROUND(H184*W_GAYA_WOW+I184*W_GAYA_MEREK+(11-2*G184)*W_GAYA_MUDAH,1))</f>
        <v/>
      </c>
      <c r="K184" s="19">
        <f>IF(Z184=1,COUNTIFS($B$2:$B$254,B184,$AA$2:$AA$254,"&gt;"&amp;AA184)+1,"—")</f>
        <v/>
      </c>
      <c r="L184" s="19" t="n">
        <v>5</v>
      </c>
      <c r="M184" s="21" t="inlineStr">
        <is>
          <t>Satu Warna</t>
        </is>
      </c>
      <c r="N184" s="19" t="inlineStr">
        <is>
          <t>Anomali</t>
        </is>
      </c>
      <c r="O184" s="20" t="inlineStr">
        <is>
          <t>“Di formulir ini, hanya satu kolom yang berwarna merah.”</t>
        </is>
      </c>
      <c r="P184" s="20" t="inlineStr">
        <is>
          <t>Formulir abu-abu → kolom data spesifik merah → risiko TINGGI otomatis → CTA</t>
        </is>
      </c>
      <c r="Q184" s="24" t="n">
        <v>0.2</v>
      </c>
      <c r="R184" s="25">
        <f>IF(Q184="","",1-Q184)</f>
        <v/>
      </c>
      <c r="S184" s="20">
        <f>IF(Q184="","—",TEXT(1-Q184,"0%")&amp;" edukasi · "&amp;TEXT(Q184,"0%")&amp;" meme")</f>
        <v/>
      </c>
      <c r="T184" s="20" t="inlineStr">
        <is>
          <t>RoPA</t>
        </is>
      </c>
      <c r="U184" s="20" t="inlineStr">
        <is>
          <t>ropa-data-spesifik</t>
        </is>
      </c>
      <c r="V184" s="19" t="inlineStr">
        <is>
          <t>15 dtk</t>
        </is>
      </c>
      <c r="W184" s="20" t="inlineStr">
        <is>
          <t>A11</t>
        </is>
      </c>
      <c r="X184" s="20" t="inlineStr">
        <is>
          <t>Filter grayscale; elemen aksen tanpa filter.</t>
        </is>
      </c>
      <c r="Y184" s="20" t="inlineStr"/>
      <c r="Z184" s="20">
        <f>IF(OR(E184="Bisa",E184="Berat"),1,0)</f>
        <v/>
      </c>
      <c r="AA184" s="20">
        <f>IF(Z184=1,J184-ROW()/100000,"")</f>
        <v/>
      </c>
      <c r="AB184" s="20">
        <f>B184&amp;"|"&amp;K184</f>
        <v/>
      </c>
    </row>
    <row r="185" ht="78" customHeight="1">
      <c r="A185" s="9" t="inlineStr">
        <is>
          <t>SN20</t>
        </is>
      </c>
      <c r="B185" s="5" t="inlineStr">
        <is>
          <t>Sinematik &amp; retro</t>
        </is>
      </c>
      <c r="C185" s="11" t="inlineStr">
        <is>
          <t>Hitung mundur film (3-2-1)</t>
        </is>
      </c>
      <c r="D185" s="5" t="inlineStr">
        <is>
          <t>Lingkaran hitung mundur film lama dengan jarum berputar.</t>
        </is>
      </c>
      <c r="E185" s="28" t="inlineStr">
        <is>
          <t>Bisa</t>
        </is>
      </c>
      <c r="F185" s="9" t="inlineStr"/>
      <c r="G185" s="9" t="n">
        <v>1</v>
      </c>
      <c r="H185" s="9" t="n">
        <v>6</v>
      </c>
      <c r="I185" s="9" t="n">
        <v>7</v>
      </c>
      <c r="J185" s="26">
        <f>IF(E185="Tidak cocok","",ROUND(H185*W_GAYA_WOW+I185*W_GAYA_MEREK+(11-2*G185)*W_GAYA_MUDAH,1))</f>
        <v/>
      </c>
      <c r="K185" s="9">
        <f>IF(Z185=1,COUNTIFS($B$2:$B$254,B185,$AA$2:$AA$254,"&gt;"&amp;AA185)+1,"—")</f>
        <v/>
      </c>
      <c r="L185" s="9" t="n">
        <v>5</v>
      </c>
      <c r="M185" s="11" t="inlineStr">
        <is>
          <t>3, 2, 1</t>
        </is>
      </c>
      <c r="N185" s="9" t="inlineStr">
        <is>
          <t>Anomali</t>
        </is>
      </c>
      <c r="O185" s="5" t="inlineStr">
        <is>
          <t>“3… 2… 1…”</t>
        </is>
      </c>
      <c r="P185" s="5" t="inlineStr">
        <is>
          <t>Hitung mundur → “PP 33 berlaku.” → logo → CTA</t>
        </is>
      </c>
      <c r="Q185" s="24" t="n">
        <v>0.5</v>
      </c>
      <c r="R185" s="27">
        <f>IF(Q185="","",1-Q185)</f>
        <v/>
      </c>
      <c r="S185" s="5">
        <f>IF(Q185="","—",TEXT(1-Q185,"0%")&amp;" edukasi · "&amp;TEXT(Q185,"0%")&amp;" meme")</f>
        <v/>
      </c>
      <c r="T185" s="5" t="inlineStr">
        <is>
          <t>Program siap PP 33</t>
        </is>
      </c>
      <c r="U185" s="5" t="inlineStr">
        <is>
          <t>—</t>
        </is>
      </c>
      <c r="V185" s="9" t="inlineStr">
        <is>
          <t>5 dtk</t>
        </is>
      </c>
      <c r="W185" s="5" t="inlineStr">
        <is>
          <t>P04 (bumper)</t>
        </is>
      </c>
      <c r="X185" s="5" t="inlineStr">
        <is>
          <t>Jarum conic berputar; angka besar; goresan film.</t>
        </is>
      </c>
      <c r="Y185" s="5" t="inlineStr"/>
      <c r="Z185" s="5">
        <f>IF(OR(E185="Bisa",E185="Berat"),1,0)</f>
        <v/>
      </c>
      <c r="AA185" s="5">
        <f>IF(Z185=1,J185-ROW()/100000,"")</f>
        <v/>
      </c>
      <c r="AB185" s="5">
        <f>B185&amp;"|"&amp;K185</f>
        <v/>
      </c>
    </row>
    <row r="186" ht="78" customHeight="1">
      <c r="A186" s="19" t="inlineStr">
        <is>
          <t>SN21</t>
        </is>
      </c>
      <c r="B186" s="20" t="inlineStr">
        <is>
          <t>Sinematik &amp; retro</t>
        </is>
      </c>
      <c r="C186" s="21" t="inlineStr">
        <is>
          <t>Parallax foto 2.5D</t>
        </is>
      </c>
      <c r="D186" s="20" t="inlineStr">
        <is>
          <t>Foto diam diberi kedalaman; latar dan objek bergerak beda.</t>
        </is>
      </c>
      <c r="E186" s="34" t="inlineStr">
        <is>
          <t>Berat</t>
        </is>
      </c>
      <c r="F186" s="19" t="inlineStr"/>
      <c r="G186" s="19" t="n">
        <v>4</v>
      </c>
      <c r="H186" s="19" t="n">
        <v>7</v>
      </c>
      <c r="I186" s="19" t="n">
        <v>8</v>
      </c>
      <c r="J186" s="23">
        <f>IF(E186="Tidak cocok","",ROUND(H186*W_GAYA_WOW+I186*W_GAYA_MEREK+(11-2*G186)*W_GAYA_MUDAH,1))</f>
        <v/>
      </c>
      <c r="K186" s="19">
        <f>IF(Z186=1,COUNTIFS($B$2:$B$254,B186,$AA$2:$AA$254,"&gt;"&amp;AA186)+1,"—")</f>
        <v/>
      </c>
      <c r="L186" s="19" t="n">
        <v>5</v>
      </c>
      <c r="M186" s="21" t="inlineStr">
        <is>
          <t>—</t>
        </is>
      </c>
      <c r="N186" s="19" t="inlineStr">
        <is>
          <t>—</t>
        </is>
      </c>
      <c r="O186" s="20" t="inlineStr">
        <is>
          <t>—</t>
        </is>
      </c>
      <c r="P186" s="20" t="inlineStr">
        <is>
          <t>—</t>
        </is>
      </c>
      <c r="Q186" s="24" t="n"/>
      <c r="R186" s="25">
        <f>IF(Q186="","",1-Q186)</f>
        <v/>
      </c>
      <c r="S186" s="20">
        <f>IF(Q186="","—",TEXT(1-Q186,"0%")&amp;" edukasi · "&amp;TEXT(Q186,"0%")&amp;" meme")</f>
        <v/>
      </c>
      <c r="T186" s="20" t="inlineStr">
        <is>
          <t>—</t>
        </is>
      </c>
      <c r="U186" s="20" t="inlineStr">
        <is>
          <t>—</t>
        </is>
      </c>
      <c r="V186" s="19" t="inlineStr">
        <is>
          <t>—</t>
        </is>
      </c>
      <c r="W186" s="20" t="inlineStr">
        <is>
          <t>—</t>
        </is>
      </c>
      <c r="X186" s="20" t="inlineStr">
        <is>
          <t>Butuh foto berlisensi + pemotongan lapisan.</t>
        </is>
      </c>
      <c r="Y186" s="20" t="inlineStr">
        <is>
          <t>Perlu foto berlisensi (unduhan seizin pengguna).</t>
        </is>
      </c>
      <c r="Z186" s="20">
        <f>IF(OR(E186="Bisa",E186="Berat"),1,0)</f>
        <v/>
      </c>
      <c r="AA186" s="20">
        <f>IF(Z186=1,J186-ROW()/100000,"")</f>
        <v/>
      </c>
      <c r="AB186" s="20">
        <f>B186&amp;"|"&amp;K186</f>
        <v/>
      </c>
    </row>
    <row r="187" ht="78" customHeight="1">
      <c r="A187" s="9" t="inlineStr">
        <is>
          <t>SN22</t>
        </is>
      </c>
      <c r="B187" s="5" t="inlineStr">
        <is>
          <t>Sinematik &amp; retro</t>
        </is>
      </c>
      <c r="C187" s="11" t="inlineStr">
        <is>
          <t>Footage stok + caption</t>
        </is>
      </c>
      <c r="D187" s="5" t="inlineStr">
        <is>
          <t>Potongan video nyata dengan caption tebal di atasnya.</t>
        </is>
      </c>
      <c r="E187" s="34" t="inlineStr">
        <is>
          <t>Berat</t>
        </is>
      </c>
      <c r="F187" s="9" t="inlineStr"/>
      <c r="G187" s="9" t="n">
        <v>4</v>
      </c>
      <c r="H187" s="9" t="n">
        <v>7</v>
      </c>
      <c r="I187" s="9" t="n">
        <v>8</v>
      </c>
      <c r="J187" s="26">
        <f>IF(E187="Tidak cocok","",ROUND(H187*W_GAYA_WOW+I187*W_GAYA_MEREK+(11-2*G187)*W_GAYA_MUDAH,1))</f>
        <v/>
      </c>
      <c r="K187" s="9">
        <f>IF(Z187=1,COUNTIFS($B$2:$B$254,B187,$AA$2:$AA$254,"&gt;"&amp;AA187)+1,"—")</f>
        <v/>
      </c>
      <c r="L187" s="9" t="n">
        <v>5</v>
      </c>
      <c r="M187" s="11" t="inlineStr">
        <is>
          <t>—</t>
        </is>
      </c>
      <c r="N187" s="9" t="inlineStr">
        <is>
          <t>—</t>
        </is>
      </c>
      <c r="O187" s="5" t="inlineStr">
        <is>
          <t>—</t>
        </is>
      </c>
      <c r="P187" s="5" t="inlineStr">
        <is>
          <t>—</t>
        </is>
      </c>
      <c r="Q187" s="24" t="n"/>
      <c r="R187" s="27">
        <f>IF(Q187="","",1-Q187)</f>
        <v/>
      </c>
      <c r="S187" s="5">
        <f>IF(Q187="","—",TEXT(1-Q187,"0%")&amp;" edukasi · "&amp;TEXT(Q187,"0%")&amp;" meme")</f>
        <v/>
      </c>
      <c r="T187" s="5" t="inlineStr">
        <is>
          <t>—</t>
        </is>
      </c>
      <c r="U187" s="5" t="inlineStr">
        <is>
          <t>—</t>
        </is>
      </c>
      <c r="V187" s="9" t="inlineStr">
        <is>
          <t>—</t>
        </is>
      </c>
      <c r="W187" s="5" t="inlineStr">
        <is>
          <t>—</t>
        </is>
      </c>
      <c r="X187" s="5" t="inlineStr">
        <is>
          <t>Butuh video stok berlisensi bebas; pipeline sekarang berbasis halaman HTML.</t>
        </is>
      </c>
      <c r="Y187" s="5" t="inlineStr">
        <is>
          <t>Bisa ditambahkan: video stok sebagai latar (unduhan seizin pengguna, cek lisensi).</t>
        </is>
      </c>
      <c r="Z187" s="5">
        <f>IF(OR(E187="Bisa",E187="Berat"),1,0)</f>
        <v/>
      </c>
      <c r="AA187" s="5">
        <f>IF(Z187=1,J187-ROW()/100000,"")</f>
        <v/>
      </c>
      <c r="AB187" s="5">
        <f>B187&amp;"|"&amp;K187</f>
        <v/>
      </c>
    </row>
    <row r="188" ht="78" customHeight="1">
      <c r="A188" s="19" t="inlineStr">
        <is>
          <t>SN23</t>
        </is>
      </c>
      <c r="B188" s="20" t="inlineStr">
        <is>
          <t>Sinematik &amp; retro</t>
        </is>
      </c>
      <c r="C188" s="21" t="inlineStr">
        <is>
          <t>3D fotoreal</t>
        </is>
      </c>
      <c r="D188" s="20" t="inlineStr">
        <is>
          <t>Render produk atau ruang tiga dimensi realistis.</t>
        </is>
      </c>
      <c r="E188" s="35" t="inlineStr">
        <is>
          <t>Tidak cocok</t>
        </is>
      </c>
      <c r="F188" s="19" t="inlineStr"/>
      <c r="G188" s="19" t="n">
        <v>5</v>
      </c>
      <c r="H188" s="19" t="n">
        <v>9</v>
      </c>
      <c r="I188" s="19" t="n">
        <v>8</v>
      </c>
      <c r="J188" s="23">
        <f>IF(E188="Tidak cocok","",ROUND(H188*W_GAYA_WOW+I188*W_GAYA_MEREK+(11-2*G188)*W_GAYA_MUDAH,1))</f>
        <v/>
      </c>
      <c r="K188" s="19">
        <f>IF(Z188=1,COUNTIFS($B$2:$B$254,B188,$AA$2:$AA$254,"&gt;"&amp;AA188)+1,"—")</f>
        <v/>
      </c>
      <c r="L188" s="19" t="n">
        <v>5</v>
      </c>
      <c r="M188" s="21" t="inlineStr">
        <is>
          <t>—</t>
        </is>
      </c>
      <c r="N188" s="19" t="inlineStr">
        <is>
          <t>—</t>
        </is>
      </c>
      <c r="O188" s="20" t="inlineStr">
        <is>
          <t>—</t>
        </is>
      </c>
      <c r="P188" s="20" t="inlineStr">
        <is>
          <t>—</t>
        </is>
      </c>
      <c r="Q188" s="24" t="n"/>
      <c r="R188" s="25">
        <f>IF(Q188="","",1-Q188)</f>
        <v/>
      </c>
      <c r="S188" s="20">
        <f>IF(Q188="","—",TEXT(1-Q188,"0%")&amp;" edukasi · "&amp;TEXT(Q188,"0%")&amp;" meme")</f>
        <v/>
      </c>
      <c r="T188" s="20" t="inlineStr">
        <is>
          <t>—</t>
        </is>
      </c>
      <c r="U188" s="20" t="inlineStr">
        <is>
          <t>—</t>
        </is>
      </c>
      <c r="V188" s="19" t="inlineStr">
        <is>
          <t>—</t>
        </is>
      </c>
      <c r="W188" s="20" t="inlineStr">
        <is>
          <t>—</t>
        </is>
      </c>
      <c r="X188" s="20" t="inlineStr">
        <is>
          <t>Di luar kemampuan mesin berbasis HTML.</t>
        </is>
      </c>
      <c r="Y188" s="20" t="inlineStr">
        <is>
          <t>Butuh perangkat 3D &amp; artis.</t>
        </is>
      </c>
      <c r="Z188" s="20">
        <f>IF(OR(E188="Bisa",E188="Berat"),1,0)</f>
        <v/>
      </c>
      <c r="AA188" s="20">
        <f>IF(Z188=1,J188-ROW()/100000,"")</f>
        <v/>
      </c>
      <c r="AB188" s="20">
        <f>B188&amp;"|"&amp;K188</f>
        <v/>
      </c>
    </row>
    <row r="189" ht="78" customHeight="1">
      <c r="A189" s="9" t="inlineStr">
        <is>
          <t>PF01</t>
        </is>
      </c>
      <c r="B189" s="5" t="inlineStr">
        <is>
          <t>Parodi format</t>
        </is>
      </c>
      <c r="C189" s="11" t="inlineStr">
        <is>
          <t>Iklan TV jadul</t>
        </is>
      </c>
      <c r="D189" s="5" t="inlineStr">
        <is>
          <t>Parodi iklan obat 90-an: warna norak, bintang berputar, jingle.</t>
        </is>
      </c>
      <c r="E189" s="22" t="inlineStr">
        <is>
          <t>Sudah</t>
        </is>
      </c>
      <c r="F189" s="9" t="inlineStr">
        <is>
          <t>N04</t>
        </is>
      </c>
      <c r="G189" s="9" t="n">
        <v>3</v>
      </c>
      <c r="H189" s="9" t="n">
        <v>9</v>
      </c>
      <c r="I189" s="9" t="n">
        <v>7</v>
      </c>
      <c r="J189" s="26">
        <f>IF(E189="Tidak cocok","",ROUND(H189*W_GAYA_WOW+I189*W_GAYA_MEREK+(11-2*G189)*W_GAYA_MUDAH,1))</f>
        <v/>
      </c>
      <c r="K189" s="9">
        <f>IF(Z189=1,COUNTIFS($B$2:$B$254,B189,$AA$2:$AA$254,"&gt;"&amp;AA189)+1,"—")</f>
        <v/>
      </c>
      <c r="L189" s="9" t="n">
        <v>6</v>
      </c>
      <c r="M189" s="11" t="inlineStr">
        <is>
          <t>RoPA (Parodi Iklan Obat)</t>
        </is>
      </c>
      <c r="N189" s="9" t="inlineStr">
        <is>
          <t>Relate</t>
        </is>
      </c>
      <c r="O189" s="5" t="inlineStr">
        <is>
          <t>Pusing karena RoPA di spreadsheet?</t>
        </is>
      </c>
      <c r="P189" s="5" t="inlineStr">
        <is>
          <t>Keluhan → “obatnya” → cara pakai → CTA</t>
        </is>
      </c>
      <c r="Q189" s="24" t="n">
        <v>0.7</v>
      </c>
      <c r="R189" s="27">
        <f>IF(Q189="","",1-Q189)</f>
        <v/>
      </c>
      <c r="S189" s="5">
        <f>IF(Q189="","—",TEXT(1-Q189,"0%")&amp;" edukasi · "&amp;TEXT(Q189,"0%")&amp;" meme")</f>
        <v/>
      </c>
      <c r="T189" s="5" t="inlineStr">
        <is>
          <t>RoPA</t>
        </is>
      </c>
      <c r="U189" s="5" t="inlineStr">
        <is>
          <t>ropa-baru, ropa-tersimpan</t>
        </is>
      </c>
      <c r="V189" s="9" t="inlineStr">
        <is>
          <t>50,7 dtk</t>
        </is>
      </c>
      <c r="W189" s="5" t="inlineStr">
        <is>
          <t>N04 (sudah dirender)</t>
        </is>
      </c>
      <c r="X189" s="5" t="inlineStr">
        <is>
          <t>Bingkai 4:3; efek bintang; teks melengkung.</t>
        </is>
      </c>
      <c r="Y189" s="5" t="inlineStr"/>
      <c r="Z189" s="5">
        <f>IF(OR(E189="Bisa",E189="Berat"),1,0)</f>
        <v/>
      </c>
      <c r="AA189" s="5">
        <f>IF(Z189=1,J189-ROW()/100000,"")</f>
        <v/>
      </c>
      <c r="AB189" s="5">
        <f>B189&amp;"|"&amp;K189</f>
        <v/>
      </c>
    </row>
    <row r="190" ht="78" customHeight="1">
      <c r="A190" s="19" t="inlineStr">
        <is>
          <t>PF02</t>
        </is>
      </c>
      <c r="B190" s="20" t="inlineStr">
        <is>
          <t>Parodi format</t>
        </is>
      </c>
      <c r="C190" s="21" t="inlineStr">
        <is>
          <t>Arcade RPG 8-bit</t>
        </is>
      </c>
      <c r="D190" s="20" t="inlineStr">
        <is>
          <t>Game piksel: tokoh, kotak dialog, bilah nyawa.</t>
        </is>
      </c>
      <c r="E190" s="22" t="inlineStr">
        <is>
          <t>Sudah</t>
        </is>
      </c>
      <c r="F190" s="19" t="inlineStr">
        <is>
          <t>N09</t>
        </is>
      </c>
      <c r="G190" s="19" t="n">
        <v>3</v>
      </c>
      <c r="H190" s="19" t="n">
        <v>9</v>
      </c>
      <c r="I190" s="19" t="n">
        <v>7</v>
      </c>
      <c r="J190" s="23">
        <f>IF(E190="Tidak cocok","",ROUND(H190*W_GAYA_WOW+I190*W_GAYA_MEREK+(11-2*G190)*W_GAYA_MUDAH,1))</f>
        <v/>
      </c>
      <c r="K190" s="19">
        <f>IF(Z190=1,COUNTIFS($B$2:$B$254,B190,$AA$2:$AA$254,"&gt;"&amp;AA190)+1,"—")</f>
        <v/>
      </c>
      <c r="L190" s="19" t="n">
        <v>6</v>
      </c>
      <c r="M190" s="21" t="inlineStr">
        <is>
          <t>PPDP Baru</t>
        </is>
      </c>
      <c r="N190" s="19" t="inlineStr">
        <is>
          <t>Relate</t>
        </is>
      </c>
      <c r="O190" s="20" t="inlineStr">
        <is>
          <t>Kamu naik level jadi PPDP.</t>
        </is>
      </c>
      <c r="P190" s="20" t="inlineStr">
        <is>
          <t>Misi → pelatihan → pendampingan → CTA</t>
        </is>
      </c>
      <c r="Q190" s="24" t="n">
        <v>0.6</v>
      </c>
      <c r="R190" s="25">
        <f>IF(Q190="","",1-Q190)</f>
        <v/>
      </c>
      <c r="S190" s="20">
        <f>IF(Q190="","—",TEXT(1-Q190,"0%")&amp;" edukasi · "&amp;TEXT(Q190,"0%")&amp;" meme")</f>
        <v/>
      </c>
      <c r="T190" s="20" t="inlineStr">
        <is>
          <t>DPO Academy, konsultasi</t>
        </is>
      </c>
      <c r="U190" s="20" t="inlineStr">
        <is>
          <t>dpo-academy</t>
        </is>
      </c>
      <c r="V190" s="19" t="inlineStr">
        <is>
          <t>52 dtk</t>
        </is>
      </c>
      <c r="W190" s="20" t="inlineStr">
        <is>
          <t>N09 (sudah dirender)</t>
        </is>
      </c>
      <c r="X190" s="20" t="inlineStr">
        <is>
          <t>Font piksel; kotak dialog; musik chip.</t>
        </is>
      </c>
      <c r="Y190" s="20" t="inlineStr"/>
      <c r="Z190" s="20">
        <f>IF(OR(E190="Bisa",E190="Berat"),1,0)</f>
        <v/>
      </c>
      <c r="AA190" s="20">
        <f>IF(Z190=1,J190-ROW()/100000,"")</f>
        <v/>
      </c>
      <c r="AB190" s="20">
        <f>B190&amp;"|"&amp;K190</f>
        <v/>
      </c>
    </row>
    <row r="191" ht="78" customHeight="1">
      <c r="A191" s="9" t="inlineStr">
        <is>
          <t>PF03</t>
        </is>
      </c>
      <c r="B191" s="5" t="inlineStr">
        <is>
          <t>Parodi format</t>
        </is>
      </c>
      <c r="C191" s="11" t="inlineStr">
        <is>
          <t>Kompilasi meme</t>
        </is>
      </c>
      <c r="D191" s="5" t="inlineStr">
        <is>
          <t>Potongan cepat berbagai format meme dalam satu video.</t>
        </is>
      </c>
      <c r="E191" s="22" t="inlineStr">
        <is>
          <t>Sudah</t>
        </is>
      </c>
      <c r="F191" s="9" t="inlineStr">
        <is>
          <t>N11</t>
        </is>
      </c>
      <c r="G191" s="9" t="n">
        <v>4</v>
      </c>
      <c r="H191" s="9" t="n">
        <v>9</v>
      </c>
      <c r="I191" s="9" t="n">
        <v>6</v>
      </c>
      <c r="J191" s="26">
        <f>IF(E191="Tidak cocok","",ROUND(H191*W_GAYA_WOW+I191*W_GAYA_MEREK+(11-2*G191)*W_GAYA_MUDAH,1))</f>
        <v/>
      </c>
      <c r="K191" s="9">
        <f>IF(Z191=1,COUNTIFS($B$2:$B$254,B191,$AA$2:$AA$254,"&gt;"&amp;AA191)+1,"—")</f>
        <v/>
      </c>
      <c r="L191" s="9" t="n">
        <v>6</v>
      </c>
      <c r="M191" s="11" t="inlineStr">
        <is>
          <t>Hidup DPO (2026)</t>
        </is>
      </c>
      <c r="N191" s="9" t="inlineStr">
        <is>
          <t>Relate</t>
        </is>
      </c>
      <c r="O191" s="5" t="inlineStr">
        <is>
          <t>“Yep, itu aku. Pasti bingung kok bisa begini.”</t>
        </is>
      </c>
      <c r="P191" s="5" t="inlineStr">
        <is>
          <t>Freeze frame → orang have → astaga bercanda → things to say → polyester edit → kinda chic → CTA</t>
        </is>
      </c>
      <c r="Q191" s="24" t="n">
        <v>1</v>
      </c>
      <c r="R191" s="27">
        <f>IF(Q191="","",1-Q191)</f>
        <v/>
      </c>
      <c r="S191" s="5">
        <f>IF(Q191="","—",TEXT(1-Q191,"0%")&amp;" edukasi · "&amp;TEXT(Q191,"0%")&amp;" meme")</f>
        <v/>
      </c>
      <c r="T191" s="5" t="inlineStr">
        <is>
          <t>Semua modul</t>
        </is>
      </c>
      <c r="U191" s="5" t="inlineStr">
        <is>
          <t>dashboard</t>
        </is>
      </c>
      <c r="V191" s="9" t="inlineStr">
        <is>
          <t>66,6 dtk</t>
        </is>
      </c>
      <c r="W191" s="5" t="inlineStr">
        <is>
          <t>N11 (sudah dirender)</t>
        </is>
      </c>
      <c r="X191" s="5" t="inlineStr">
        <is>
          <t>Tipe scene meme di n11-meme-dpo/style.js.</t>
        </is>
      </c>
      <c r="Y191" s="5" t="inlineStr"/>
      <c r="Z191" s="5">
        <f>IF(OR(E191="Bisa",E191="Berat"),1,0)</f>
        <v/>
      </c>
      <c r="AA191" s="5">
        <f>IF(Z191=1,J191-ROW()/100000,"")</f>
        <v/>
      </c>
      <c r="AB191" s="5">
        <f>B191&amp;"|"&amp;K191</f>
        <v/>
      </c>
    </row>
    <row r="192" ht="78" customHeight="1">
      <c r="A192" s="19" t="inlineStr">
        <is>
          <t>PF04</t>
        </is>
      </c>
      <c r="B192" s="20" t="inlineStr">
        <is>
          <t>Parodi format</t>
        </is>
      </c>
      <c r="C192" s="21" t="inlineStr">
        <is>
          <t>Majalah editorial</t>
        </is>
      </c>
      <c r="D192" s="20" t="inlineStr">
        <is>
          <t>Tata letak majalah mewah: serif besar, ruang kosong lapang.</t>
        </is>
      </c>
      <c r="E192" s="22" t="inlineStr">
        <is>
          <t>Sudah</t>
        </is>
      </c>
      <c r="F192" s="19" t="inlineStr">
        <is>
          <t>N07</t>
        </is>
      </c>
      <c r="G192" s="19" t="n">
        <v>3</v>
      </c>
      <c r="H192" s="19" t="n">
        <v>8</v>
      </c>
      <c r="I192" s="19" t="n">
        <v>9</v>
      </c>
      <c r="J192" s="23">
        <f>IF(E192="Tidak cocok","",ROUND(H192*W_GAYA_WOW+I192*W_GAYA_MEREK+(11-2*G192)*W_GAYA_MUDAH,1))</f>
        <v/>
      </c>
      <c r="K192" s="19">
        <f>IF(Z192=1,COUNTIFS($B$2:$B$254,B192,$AA$2:$AA$254,"&gt;"&amp;AA192)+1,"—")</f>
        <v/>
      </c>
      <c r="L192" s="19" t="n">
        <v>6</v>
      </c>
      <c r="M192" s="21" t="inlineStr">
        <is>
          <t>Konsultan PDP</t>
        </is>
      </c>
      <c r="N192" s="19" t="inlineStr">
        <is>
          <t>Logika dipatahkan</t>
        </is>
      </c>
      <c r="O192" s="20" t="inlineStr">
        <is>
          <t>Konsultan terbaik bukan yang laporannya paling tebal.</t>
        </is>
      </c>
      <c r="P192" s="20" t="inlineStr">
        <is>
          <t>Masalah → pendampingan → CTA konsultasi</t>
        </is>
      </c>
      <c r="Q192" s="24" t="n">
        <v>0.1</v>
      </c>
      <c r="R192" s="25">
        <f>IF(Q192="","",1-Q192)</f>
        <v/>
      </c>
      <c r="S192" s="20">
        <f>IF(Q192="","—",TEXT(1-Q192,"0%")&amp;" edukasi · "&amp;TEXT(Q192,"0%")&amp;" meme")</f>
        <v/>
      </c>
      <c r="T192" s="20" t="inlineStr">
        <is>
          <t>Konsultasi</t>
        </is>
      </c>
      <c r="U192" s="20" t="inlineStr">
        <is>
          <t>—</t>
        </is>
      </c>
      <c r="V192" s="19" t="inlineStr">
        <is>
          <t>45 dtk</t>
        </is>
      </c>
      <c r="W192" s="20" t="inlineStr">
        <is>
          <t>N07 (sudah dirender)</t>
        </is>
      </c>
      <c r="X192" s="20" t="inlineStr">
        <is>
          <t>Grid editorial; serif kontras tinggi; garis tipis.</t>
        </is>
      </c>
      <c r="Y192" s="20" t="inlineStr"/>
      <c r="Z192" s="20">
        <f>IF(OR(E192="Bisa",E192="Berat"),1,0)</f>
        <v/>
      </c>
      <c r="AA192" s="20">
        <f>IF(Z192=1,J192-ROW()/100000,"")</f>
        <v/>
      </c>
      <c r="AB192" s="20">
        <f>B192&amp;"|"&amp;K192</f>
        <v/>
      </c>
    </row>
    <row r="193" ht="78" customHeight="1">
      <c r="A193" s="9" t="inlineStr">
        <is>
          <t>PF05</t>
        </is>
      </c>
      <c r="B193" s="5" t="inlineStr">
        <is>
          <t>Parodi format</t>
        </is>
      </c>
      <c r="C193" s="11" t="inlineStr">
        <is>
          <t>Komik / pop-art</t>
        </is>
      </c>
      <c r="D193" s="5" t="inlineStr">
        <is>
          <t>Panel komik, titik halftone, balon kata, huruf efek suara.</t>
        </is>
      </c>
      <c r="E193" s="28" t="inlineStr">
        <is>
          <t>Bisa</t>
        </is>
      </c>
      <c r="F193" s="9" t="inlineStr"/>
      <c r="G193" s="9" t="n">
        <v>3</v>
      </c>
      <c r="H193" s="9" t="n">
        <v>9</v>
      </c>
      <c r="I193" s="9" t="n">
        <v>7</v>
      </c>
      <c r="J193" s="26">
        <f>IF(E193="Tidak cocok","",ROUND(H193*W_GAYA_WOW+I193*W_GAYA_MEREK+(11-2*G193)*W_GAYA_MUDAH,1))</f>
        <v/>
      </c>
      <c r="K193" s="9">
        <f>IF(Z193=1,COUNTIFS($B$2:$B$254,B193,$AA$2:$AA$254,"&gt;"&amp;AA193)+1,"—")</f>
        <v/>
      </c>
      <c r="L193" s="9" t="n">
        <v>6</v>
      </c>
      <c r="M193" s="11" t="inlineStr">
        <is>
          <t>Nobody: / Marketing Jam 5 Sore</t>
        </is>
      </c>
      <c r="N193" s="9" t="inlineStr">
        <is>
          <t>Relate</t>
        </is>
      </c>
      <c r="O193" s="5" t="inlineStr">
        <is>
          <t>“Nobody: … Marketing jam 5 sore: ‘blast promo ke semua nomor di database ya!’”</t>
        </is>
      </c>
      <c r="P193" s="5" t="inlineStr">
        <is>
          <t>Panel 1 kosong (jangkrik) → panel 2 balon marketing → panel 3 “HAH?!” → panel 4 cek persetujuan → CTA</t>
        </is>
      </c>
      <c r="Q193" s="24" t="n">
        <v>0.7</v>
      </c>
      <c r="R193" s="27">
        <f>IF(Q193="","",1-Q193)</f>
        <v/>
      </c>
      <c r="S193" s="5">
        <f>IF(Q193="","—",TEXT(1-Q193,"0%")&amp;" edukasi · "&amp;TEXT(Q193,"0%")&amp;" meme")</f>
        <v/>
      </c>
      <c r="T193" s="5" t="inlineStr">
        <is>
          <t>Consent &amp; Cookie</t>
        </is>
      </c>
      <c r="U193" s="5" t="inlineStr">
        <is>
          <t>consent-detail</t>
        </is>
      </c>
      <c r="V193" s="9" t="inlineStr">
        <is>
          <t>20 dtk</t>
        </is>
      </c>
      <c r="W193" s="5" t="inlineStr">
        <is>
          <t>A09</t>
        </is>
      </c>
      <c r="X193" s="5" t="inlineStr">
        <is>
          <t>Panel dengan garis tebal; balon SVG; tokoh emoji/bentuk.</t>
        </is>
      </c>
      <c r="Y193" s="5" t="inlineStr">
        <is>
          <t>Tokoh = emoji/bentuk, bukan karakter komik yang sudah ada.</t>
        </is>
      </c>
      <c r="Z193" s="5">
        <f>IF(OR(E193="Bisa",E193="Berat"),1,0)</f>
        <v/>
      </c>
      <c r="AA193" s="5">
        <f>IF(Z193=1,J193-ROW()/100000,"")</f>
        <v/>
      </c>
      <c r="AB193" s="5">
        <f>B193&amp;"|"&amp;K193</f>
        <v/>
      </c>
    </row>
    <row r="194" ht="78" customHeight="1">
      <c r="A194" s="19" t="inlineStr">
        <is>
          <t>PF06</t>
        </is>
      </c>
      <c r="B194" s="20" t="inlineStr">
        <is>
          <t>Parodi format</t>
        </is>
      </c>
      <c r="C194" s="21" t="inlineStr">
        <is>
          <t>Breaking news TV</t>
        </is>
      </c>
      <c r="D194" s="20" t="inlineStr">
        <is>
          <t>Layar berita: judul merah, teks berjalan, jam pojok.</t>
        </is>
      </c>
      <c r="E194" s="28" t="inlineStr">
        <is>
          <t>Bisa</t>
        </is>
      </c>
      <c r="F194" s="19" t="inlineStr"/>
      <c r="G194" s="19" t="n">
        <v>2</v>
      </c>
      <c r="H194" s="19" t="n">
        <v>8</v>
      </c>
      <c r="I194" s="19" t="n">
        <v>8</v>
      </c>
      <c r="J194" s="23">
        <f>IF(E194="Tidak cocok","",ROUND(H194*W_GAYA_WOW+I194*W_GAYA_MEREK+(11-2*G194)*W_GAYA_MUDAH,1))</f>
        <v/>
      </c>
      <c r="K194" s="19">
        <f>IF(Z194=1,COUNTIFS($B$2:$B$254,B194,$AA$2:$AA$254,"&gt;"&amp;AA194)+1,"—")</f>
        <v/>
      </c>
      <c r="L194" s="19" t="n">
        <v>6</v>
      </c>
      <c r="M194" s="21" t="inlineStr">
        <is>
          <t>Sekilas Info</t>
        </is>
      </c>
      <c r="N194" s="19" t="inlineStr">
        <is>
          <t>Anomali</t>
        </is>
      </c>
      <c r="O194" s="20" t="inlineStr">
        <is>
          <t>“Sekilas info: sebuah perusahaan menemukan 14 salinan data yang sama.”</t>
        </is>
      </c>
      <c r="P194" s="20" t="inlineStr">
        <is>
          <t>Judul berita → teks berjalan berisi fakta UU PDP → Data Discovery → CTA</t>
        </is>
      </c>
      <c r="Q194" s="24" t="n">
        <v>0.4</v>
      </c>
      <c r="R194" s="25">
        <f>IF(Q194="","",1-Q194)</f>
        <v/>
      </c>
      <c r="S194" s="20">
        <f>IF(Q194="","—",TEXT(1-Q194,"0%")&amp;" edukasi · "&amp;TEXT(Q194,"0%")&amp;" meme")</f>
        <v/>
      </c>
      <c r="T194" s="20" t="inlineStr">
        <is>
          <t>Data Discovery</t>
        </is>
      </c>
      <c r="U194" s="20" t="inlineStr">
        <is>
          <t>—</t>
        </is>
      </c>
      <c r="V194" s="19" t="inlineStr">
        <is>
          <t>15 dtk</t>
        </is>
      </c>
      <c r="W194" s="20" t="inlineStr">
        <is>
          <t>Baru</t>
        </is>
      </c>
      <c r="X194" s="20" t="inlineStr">
        <is>
          <t>Lower-third; teks berjalan; kilat “sekilas info”.</t>
        </is>
      </c>
      <c r="Y194" s="20" t="inlineStr">
        <is>
          <t>Stasiun TV fiktif; angka = ilustrasi.</t>
        </is>
      </c>
      <c r="Z194" s="20">
        <f>IF(OR(E194="Bisa",E194="Berat"),1,0)</f>
        <v/>
      </c>
      <c r="AA194" s="20">
        <f>IF(Z194=1,J194-ROW()/100000,"")</f>
        <v/>
      </c>
      <c r="AB194" s="20">
        <f>B194&amp;"|"&amp;K194</f>
        <v/>
      </c>
    </row>
    <row r="195" ht="78" customHeight="1">
      <c r="A195" s="9" t="inlineStr">
        <is>
          <t>PF07</t>
        </is>
      </c>
      <c r="B195" s="5" t="inlineStr">
        <is>
          <t>Parodi format</t>
        </is>
      </c>
      <c r="C195" s="11" t="inlineStr">
        <is>
          <t>Kuis / game show</t>
        </is>
      </c>
      <c r="D195" s="5" t="inlineStr">
        <is>
          <t>Pertanyaan di layar, empat pilihan, timer, lampu berkedip.</t>
        </is>
      </c>
      <c r="E195" s="28" t="inlineStr">
        <is>
          <t>Bisa</t>
        </is>
      </c>
      <c r="F195" s="9" t="inlineStr"/>
      <c r="G195" s="9" t="n">
        <v>2</v>
      </c>
      <c r="H195" s="9" t="n">
        <v>8</v>
      </c>
      <c r="I195" s="9" t="n">
        <v>8</v>
      </c>
      <c r="J195" s="26">
        <f>IF(E195="Tidak cocok","",ROUND(H195*W_GAYA_WOW+I195*W_GAYA_MEREK+(11-2*G195)*W_GAYA_MUDAH,1))</f>
        <v/>
      </c>
      <c r="K195" s="9">
        <f>IF(Z195=1,COUNTIFS($B$2:$B$254,B195,$AA$2:$AA$254,"&gt;"&amp;AA195)+1,"—")</f>
        <v/>
      </c>
      <c r="L195" s="9" t="n">
        <v>6</v>
      </c>
      <c r="M195" s="11" t="inlineStr">
        <is>
          <t>Kuis 3×24</t>
        </is>
      </c>
      <c r="N195" s="9" t="inlineStr">
        <is>
          <t>Relate</t>
        </is>
      </c>
      <c r="O195" s="5" t="inlineStr">
        <is>
          <t>“Berapa lama batas pemberitahuan insiden? A. Nanti saja. B. 3×24 jam.”</t>
        </is>
      </c>
      <c r="P195" s="5" t="inlineStr">
        <is>
          <t>Timer → jawaban B menyala → penghitung mundur otomatis di Nexus → CTA</t>
        </is>
      </c>
      <c r="Q195" s="24" t="n">
        <v>0.4</v>
      </c>
      <c r="R195" s="27">
        <f>IF(Q195="","",1-Q195)</f>
        <v/>
      </c>
      <c r="S195" s="5">
        <f>IF(Q195="","—",TEXT(1-Q195,"0%")&amp;" edukasi · "&amp;TEXT(Q195,"0%")&amp;" meme")</f>
        <v/>
      </c>
      <c r="T195" s="5" t="inlineStr">
        <is>
          <t>Manajemen Insiden</t>
        </is>
      </c>
      <c r="U195" s="5" t="inlineStr">
        <is>
          <t>breach-detail</t>
        </is>
      </c>
      <c r="V195" s="9" t="inlineStr">
        <is>
          <t>15 dtk</t>
        </is>
      </c>
      <c r="W195" s="5" t="inlineStr">
        <is>
          <t>Baru</t>
        </is>
      </c>
      <c r="X195" s="5" t="inlineStr">
        <is>
          <t>Kartu pilihan menyala; timer melingkar; bunyi benar/salah.</t>
        </is>
      </c>
      <c r="Y195" s="5" t="inlineStr">
        <is>
          <t>Tata letak sendiri; jangan meniru acara kuis tertentu.</t>
        </is>
      </c>
      <c r="Z195" s="5">
        <f>IF(OR(E195="Bisa",E195="Berat"),1,0)</f>
        <v/>
      </c>
      <c r="AA195" s="5">
        <f>IF(Z195=1,J195-ROW()/100000,"")</f>
        <v/>
      </c>
      <c r="AB195" s="5">
        <f>B195&amp;"|"&amp;K195</f>
        <v/>
      </c>
    </row>
    <row r="196" ht="78" customHeight="1">
      <c r="A196" s="19" t="inlineStr">
        <is>
          <t>PF08</t>
        </is>
      </c>
      <c r="B196" s="20" t="inlineStr">
        <is>
          <t>Parodi format</t>
        </is>
      </c>
      <c r="C196" s="21" t="inlineStr">
        <is>
          <t>Struk belanja</t>
        </is>
      </c>
      <c r="D196" s="20" t="inlineStr">
        <is>
          <t>Kertas printer termal memanjang; daftar barang dan TOTAL.</t>
        </is>
      </c>
      <c r="E196" s="22" t="inlineStr">
        <is>
          <t>Sudah</t>
        </is>
      </c>
      <c r="F196" s="19" t="inlineStr">
        <is>
          <t>PF08</t>
        </is>
      </c>
      <c r="G196" s="19" t="n">
        <v>2</v>
      </c>
      <c r="H196" s="19" t="n">
        <v>9</v>
      </c>
      <c r="I196" s="19" t="n">
        <v>8</v>
      </c>
      <c r="J196" s="23">
        <f>IF(E196="Tidak cocok","",ROUND(H196*W_GAYA_WOW+I196*W_GAYA_MEREK+(11-2*G196)*W_GAYA_MUDAH,1))</f>
        <v/>
      </c>
      <c r="K196" s="19">
        <f>IF(Z196=1,COUNTIFS($B$2:$B$254,B196,$AA$2:$AA$254,"&gt;"&amp;AA196)+1,"—")</f>
        <v/>
      </c>
      <c r="L196" s="19" t="n">
        <v>6</v>
      </c>
      <c r="M196" s="21" t="inlineStr">
        <is>
          <t>Emotional Damage: Denda 2%</t>
        </is>
      </c>
      <c r="N196" s="19" t="inlineStr">
        <is>
          <t>Anomali</t>
        </is>
      </c>
      <c r="O196" s="20" t="inlineStr">
        <is>
          <t>“CFO membaca: denda administratif hingga 2% dari pendapatan tahunan.”</t>
        </is>
      </c>
      <c r="P196" s="20" t="inlineStr">
        <is>
          <t>Struk mencetak daftar kelalaian → TOTAL: hingga 2% pendapatan tahunan → cap → pemetaan paparan sanksi → CTA</t>
        </is>
      </c>
      <c r="Q196" s="24" t="n">
        <v>0.6</v>
      </c>
      <c r="R196" s="25">
        <f>IF(Q196="","",1-Q196)</f>
        <v/>
      </c>
      <c r="S196" s="20">
        <f>IF(Q196="","—",TEXT(1-Q196,"0%")&amp;" edukasi · "&amp;TEXT(Q196,"0%")&amp;" meme")</f>
        <v/>
      </c>
      <c r="T196" s="20" t="inlineStr">
        <is>
          <t>Paparan Sanksi Administratif</t>
        </is>
      </c>
      <c r="U196" s="20" t="inlineStr">
        <is>
          <t>—</t>
        </is>
      </c>
      <c r="V196" s="19" t="inlineStr">
        <is>
          <t>20 dtk</t>
        </is>
      </c>
      <c r="W196" s="20" t="inlineStr">
        <is>
          <t>A08</t>
        </is>
      </c>
      <c r="X196" s="20" t="inlineStr">
        <is>
          <t>Kertas tumbuh ke bawah; baris dicetak per karakter; tepi sobek zigzag.</t>
        </is>
      </c>
      <c r="Y196" s="20" t="inlineStr">
        <is>
          <t>Contoh rupiah = ilustrasi; frasa direkam tim/TTS tanpa meniru persona.</t>
        </is>
      </c>
      <c r="Z196" s="20">
        <f>IF(OR(E196="Bisa",E196="Berat"),1,0)</f>
        <v/>
      </c>
      <c r="AA196" s="20">
        <f>IF(Z196=1,J196-ROW()/100000,"")</f>
        <v/>
      </c>
      <c r="AB196" s="20">
        <f>B196&amp;"|"&amp;K196</f>
        <v/>
      </c>
    </row>
    <row r="197" ht="78" customHeight="1">
      <c r="A197" s="9" t="inlineStr">
        <is>
          <t>PF09</t>
        </is>
      </c>
      <c r="B197" s="5" t="inlineStr">
        <is>
          <t>Parodi format</t>
        </is>
      </c>
      <c r="C197" s="11" t="inlineStr">
        <is>
          <t>Tier list</t>
        </is>
      </c>
      <c r="D197" s="5" t="inlineStr">
        <is>
          <t>Papan peringkat S sampai F; kartu dilempar ke barisnya.</t>
        </is>
      </c>
      <c r="E197" s="28" t="inlineStr">
        <is>
          <t>Bisa</t>
        </is>
      </c>
      <c r="F197" s="9" t="inlineStr"/>
      <c r="G197" s="9" t="n">
        <v>2</v>
      </c>
      <c r="H197" s="9" t="n">
        <v>8</v>
      </c>
      <c r="I197" s="9" t="n">
        <v>7</v>
      </c>
      <c r="J197" s="26">
        <f>IF(E197="Tidak cocok","",ROUND(H197*W_GAYA_WOW+I197*W_GAYA_MEREK+(11-2*G197)*W_GAYA_MUDAH,1))</f>
        <v/>
      </c>
      <c r="K197" s="9">
        <f>IF(Z197=1,COUNTIFS($B$2:$B$254,B197,$AA$2:$AA$254,"&gt;"&amp;AA197)+1,"—")</f>
        <v/>
      </c>
      <c r="L197" s="9" t="n">
        <v>6</v>
      </c>
      <c r="M197" s="11" t="inlineStr">
        <is>
          <t>Tier List Kebiasaan Data</t>
        </is>
      </c>
      <c r="N197" s="9" t="inlineStr">
        <is>
          <t>Relate</t>
        </is>
      </c>
      <c r="O197" s="5" t="inlineStr">
        <is>
          <t>“Tier list kebiasaan data di kantor.”</t>
        </is>
      </c>
      <c r="P197" s="5" t="inlineStr">
        <is>
          <t>F: password di kertas tempel · D: kirim KTP lewat grup · S: register terpusat → CTA</t>
        </is>
      </c>
      <c r="Q197" s="24" t="n">
        <v>0.6</v>
      </c>
      <c r="R197" s="27">
        <f>IF(Q197="","",1-Q197)</f>
        <v/>
      </c>
      <c r="S197" s="5">
        <f>IF(Q197="","—",TEXT(1-Q197,"0%")&amp;" edukasi · "&amp;TEXT(Q197,"0%")&amp;" meme")</f>
        <v/>
      </c>
      <c r="T197" s="5" t="inlineStr">
        <is>
          <t>RoPA, DPO Academy</t>
        </is>
      </c>
      <c r="U197" s="5" t="inlineStr">
        <is>
          <t>—</t>
        </is>
      </c>
      <c r="V197" s="9" t="inlineStr">
        <is>
          <t>15 dtk</t>
        </is>
      </c>
      <c r="W197" s="5" t="inlineStr">
        <is>
          <t>A19 / A43</t>
        </is>
      </c>
      <c r="X197" s="5" t="inlineStr">
        <is>
          <t>Baris berwarna; kartu masuk dengan lintasan.</t>
        </is>
      </c>
      <c r="Y197" s="5" t="inlineStr"/>
      <c r="Z197" s="5">
        <f>IF(OR(E197="Bisa",E197="Berat"),1,0)</f>
        <v/>
      </c>
      <c r="AA197" s="5">
        <f>IF(Z197=1,J197-ROW()/100000,"")</f>
        <v/>
      </c>
      <c r="AB197" s="5">
        <f>B197&amp;"|"&amp;K197</f>
        <v/>
      </c>
    </row>
    <row r="198" ht="78" customHeight="1">
      <c r="A198" s="19" t="inlineStr">
        <is>
          <t>PF10</t>
        </is>
      </c>
      <c r="B198" s="20" t="inlineStr">
        <is>
          <t>Parodi format</t>
        </is>
      </c>
      <c r="C198" s="21" t="inlineStr">
        <is>
          <t>Bingo</t>
        </is>
      </c>
      <c r="D198" s="20" t="inlineStr">
        <is>
          <t>Kartu bingo 5×5; kotak dicoret satu-satu sampai BINGO.</t>
        </is>
      </c>
      <c r="E198" s="28" t="inlineStr">
        <is>
          <t>Bisa</t>
        </is>
      </c>
      <c r="F198" s="19" t="inlineStr"/>
      <c r="G198" s="19" t="n">
        <v>2</v>
      </c>
      <c r="H198" s="19" t="n">
        <v>8</v>
      </c>
      <c r="I198" s="19" t="n">
        <v>7</v>
      </c>
      <c r="J198" s="23">
        <f>IF(E198="Tidak cocok","",ROUND(H198*W_GAYA_WOW+I198*W_GAYA_MEREK+(11-2*G198)*W_GAYA_MUDAH,1))</f>
        <v/>
      </c>
      <c r="K198" s="19">
        <f>IF(Z198=1,COUNTIFS($B$2:$B$254,B198,$AA$2:$AA$254,"&gt;"&amp;AA198)+1,"—")</f>
        <v/>
      </c>
      <c r="L198" s="19" t="n">
        <v>6</v>
      </c>
      <c r="M198" s="21" t="inlineStr">
        <is>
          <t>Bingo Rapat Kepatuhan</t>
        </is>
      </c>
      <c r="N198" s="19" t="inlineStr">
        <is>
          <t>Relate</t>
        </is>
      </c>
      <c r="O198" s="20" t="inlineStr">
        <is>
          <t>“Bingo rapat kepatuhan. Kotak tengah: ‘nanti kita follow up’.”</t>
        </is>
      </c>
      <c r="P198" s="20" t="inlineStr">
        <is>
          <t>Kotak dicoret → BINGO → rapat berikutnya cukup buka dasbor → CTA</t>
        </is>
      </c>
      <c r="Q198" s="24" t="n">
        <v>0.6</v>
      </c>
      <c r="R198" s="25">
        <f>IF(Q198="","",1-Q198)</f>
        <v/>
      </c>
      <c r="S198" s="20">
        <f>IF(Q198="","—",TEXT(1-Q198,"0%")&amp;" edukasi · "&amp;TEXT(Q198,"0%")&amp;" meme")</f>
        <v/>
      </c>
      <c r="T198" s="20" t="inlineStr">
        <is>
          <t>Dasbor kepatuhan</t>
        </is>
      </c>
      <c r="U198" s="20" t="inlineStr">
        <is>
          <t>dashboard</t>
        </is>
      </c>
      <c r="V198" s="19" t="inlineStr">
        <is>
          <t>15 dtk</t>
        </is>
      </c>
      <c r="W198" s="20" t="inlineStr">
        <is>
          <t>Baru</t>
        </is>
      </c>
      <c r="X198" s="20" t="inlineStr">
        <is>
          <t>Grid; coretan digambar; garis bingo menyala.</t>
        </is>
      </c>
      <c r="Y198" s="20" t="inlineStr">
        <is>
          <t>Kartu bisa dibagikan sebagai gambar.</t>
        </is>
      </c>
      <c r="Z198" s="20">
        <f>IF(OR(E198="Bisa",E198="Berat"),1,0)</f>
        <v/>
      </c>
      <c r="AA198" s="20">
        <f>IF(Z198=1,J198-ROW()/100000,"")</f>
        <v/>
      </c>
      <c r="AB198" s="20">
        <f>B198&amp;"|"&amp;K198</f>
        <v/>
      </c>
    </row>
    <row r="199" ht="78" customHeight="1">
      <c r="A199" s="9" t="inlineStr">
        <is>
          <t>PF11</t>
        </is>
      </c>
      <c r="B199" s="5" t="inlineStr">
        <is>
          <t>Parodi format</t>
        </is>
      </c>
      <c r="C199" s="11" t="inlineStr">
        <is>
          <t>Prakiraan cuaca</t>
        </is>
      </c>
      <c r="D199" s="5" t="inlineStr">
        <is>
          <t>Peta cuaca dengan ikon matahari, awan, dan petir per wilayah.</t>
        </is>
      </c>
      <c r="E199" s="22" t="inlineStr">
        <is>
          <t>Sudah</t>
        </is>
      </c>
      <c r="F199" s="9" t="inlineStr">
        <is>
          <t>PF11</t>
        </is>
      </c>
      <c r="G199" s="9" t="n">
        <v>3</v>
      </c>
      <c r="H199" s="9" t="n">
        <v>8</v>
      </c>
      <c r="I199" s="9" t="n">
        <v>8</v>
      </c>
      <c r="J199" s="26">
        <f>IF(E199="Tidak cocok","",ROUND(H199*W_GAYA_WOW+I199*W_GAYA_MEREK+(11-2*G199)*W_GAYA_MUDAH,1))</f>
        <v/>
      </c>
      <c r="K199" s="9">
        <f>IF(Z199=1,COUNTIFS($B$2:$B$254,B199,$AA$2:$AA$254,"&gt;"&amp;AA199)+1,"—")</f>
        <v/>
      </c>
      <c r="L199" s="9" t="n">
        <v>6</v>
      </c>
      <c r="M199" s="11" t="inlineStr">
        <is>
          <t>Prakiraan Kepatuhan</t>
        </is>
      </c>
      <c r="N199" s="9" t="inlineStr">
        <is>
          <t>Anomali</t>
        </is>
      </c>
      <c r="O199" s="5" t="inlineStr">
        <is>
          <t>“Prakiraan kepatuhan hari ini: cerah di Legal, badai lokal di Marketing.”</t>
        </is>
      </c>
      <c r="P199" s="5" t="inlineStr">
        <is>
          <t>Peta divisi (bukan peta negara) → badai di satu divisi → dasbor &amp; skor per area → CTA</t>
        </is>
      </c>
      <c r="Q199" s="24" t="n">
        <v>0.4</v>
      </c>
      <c r="R199" s="27">
        <f>IF(Q199="","",1-Q199)</f>
        <v/>
      </c>
      <c r="S199" s="5">
        <f>IF(Q199="","—",TEXT(1-Q199,"0%")&amp;" edukasi · "&amp;TEXT(Q199,"0%")&amp;" meme")</f>
        <v/>
      </c>
      <c r="T199" s="5" t="inlineStr">
        <is>
          <t>Dasbor, GAP</t>
        </is>
      </c>
      <c r="U199" s="5" t="inlineStr">
        <is>
          <t>gap-hasil</t>
        </is>
      </c>
      <c r="V199" s="9" t="inlineStr">
        <is>
          <t>15 dtk</t>
        </is>
      </c>
      <c r="W199" s="5" t="inlineStr">
        <is>
          <t>Baru</t>
        </is>
      </c>
      <c r="X199" s="5" t="inlineStr">
        <is>
          <t>Peta bentuk sederhana; ikon cuaca; pembawa acara = suara saja.</t>
        </is>
      </c>
      <c r="Y199" s="5" t="inlineStr"/>
      <c r="Z199" s="5">
        <f>IF(OR(E199="Bisa",E199="Berat"),1,0)</f>
        <v/>
      </c>
      <c r="AA199" s="5">
        <f>IF(Z199=1,J199-ROW()/100000,"")</f>
        <v/>
      </c>
      <c r="AB199" s="5">
        <f>B199&amp;"|"&amp;K199</f>
        <v/>
      </c>
    </row>
    <row r="200" ht="78" customHeight="1">
      <c r="A200" s="19" t="inlineStr">
        <is>
          <t>PF12</t>
        </is>
      </c>
      <c r="B200" s="20" t="inlineStr">
        <is>
          <t>Parodi format</t>
        </is>
      </c>
      <c r="C200" s="21" t="inlineStr">
        <is>
          <t>Acara masak / resep</t>
        </is>
      </c>
      <c r="D200" s="20" t="inlineStr">
        <is>
          <t>Kartu resep: bahan, takaran, langkah bernomor.</t>
        </is>
      </c>
      <c r="E200" s="28" t="inlineStr">
        <is>
          <t>Bisa</t>
        </is>
      </c>
      <c r="F200" s="19" t="inlineStr"/>
      <c r="G200" s="19" t="n">
        <v>2</v>
      </c>
      <c r="H200" s="19" t="n">
        <v>8</v>
      </c>
      <c r="I200" s="19" t="n">
        <v>7</v>
      </c>
      <c r="J200" s="23">
        <f>IF(E200="Tidak cocok","",ROUND(H200*W_GAYA_WOW+I200*W_GAYA_MEREK+(11-2*G200)*W_GAYA_MUDAH,1))</f>
        <v/>
      </c>
      <c r="K200" s="19">
        <f>IF(Z200=1,COUNTIFS($B$2:$B$254,B200,$AA$2:$AA$254,"&gt;"&amp;AA200)+1,"—")</f>
        <v/>
      </c>
      <c r="L200" s="19" t="n">
        <v>6</v>
      </c>
      <c r="M200" s="21" t="inlineStr">
        <is>
          <t>Resep RoPA Anti Gagal</t>
        </is>
      </c>
      <c r="N200" s="19" t="inlineStr">
        <is>
          <t>Relate</t>
        </is>
      </c>
      <c r="O200" s="20" t="inlineStr">
        <is>
          <t>“Resep RoPA anti gagal. Bahan: tujuan, dasar pemrosesan, kategori data.”</t>
        </is>
      </c>
      <c r="P200" s="20" t="inlineStr">
        <is>
          <t>Bahan masuk → aduk (wizard) → matang: rekaman berkode → CTA</t>
        </is>
      </c>
      <c r="Q200" s="24" t="n">
        <v>0.6</v>
      </c>
      <c r="R200" s="25">
        <f>IF(Q200="","",1-Q200)</f>
        <v/>
      </c>
      <c r="S200" s="20">
        <f>IF(Q200="","—",TEXT(1-Q200,"0%")&amp;" edukasi · "&amp;TEXT(Q200,"0%")&amp;" meme")</f>
        <v/>
      </c>
      <c r="T200" s="20" t="inlineStr">
        <is>
          <t>RoPA (wizard)</t>
        </is>
      </c>
      <c r="U200" s="20" t="inlineStr">
        <is>
          <t>ropa-baru, ropa-tersimpan</t>
        </is>
      </c>
      <c r="V200" s="19" t="inlineStr">
        <is>
          <t>15 dtk</t>
        </is>
      </c>
      <c r="W200" s="20" t="inlineStr">
        <is>
          <t>Baru</t>
        </is>
      </c>
      <c r="X200" s="20" t="inlineStr">
        <is>
          <t>Kartu resep; bahan masuk mangkuk (ikon); langkah dicentang.</t>
        </is>
      </c>
      <c r="Y200" s="20" t="inlineStr"/>
      <c r="Z200" s="20">
        <f>IF(OR(E200="Bisa",E200="Berat"),1,0)</f>
        <v/>
      </c>
      <c r="AA200" s="20">
        <f>IF(Z200=1,J200-ROW()/100000,"")</f>
        <v/>
      </c>
      <c r="AB200" s="20">
        <f>B200&amp;"|"&amp;K200</f>
        <v/>
      </c>
    </row>
    <row r="201" ht="78" customHeight="1">
      <c r="A201" s="9" t="inlineStr">
        <is>
          <t>PF13</t>
        </is>
      </c>
      <c r="B201" s="5" t="inlineStr">
        <is>
          <t>Parodi format</t>
        </is>
      </c>
      <c r="C201" s="11" t="inlineStr">
        <is>
          <t>Zodiak / ramalan</t>
        </is>
      </c>
      <c r="D201" s="5" t="inlineStr">
        <is>
          <t>Kartu ramalan mingguan per “zodiak” profesi.</t>
        </is>
      </c>
      <c r="E201" s="28" t="inlineStr">
        <is>
          <t>Bisa</t>
        </is>
      </c>
      <c r="F201" s="9" t="inlineStr"/>
      <c r="G201" s="9" t="n">
        <v>1</v>
      </c>
      <c r="H201" s="9" t="n">
        <v>7</v>
      </c>
      <c r="I201" s="9" t="n">
        <v>6</v>
      </c>
      <c r="J201" s="26">
        <f>IF(E201="Tidak cocok","",ROUND(H201*W_GAYA_WOW+I201*W_GAYA_MEREK+(11-2*G201)*W_GAYA_MUDAH,1))</f>
        <v/>
      </c>
      <c r="K201" s="9">
        <f>IF(Z201=1,COUNTIFS($B$2:$B$254,B201,$AA$2:$AA$254,"&gt;"&amp;AA201)+1,"—")</f>
        <v/>
      </c>
      <c r="L201" s="9" t="n">
        <v>6</v>
      </c>
      <c r="M201" s="11" t="inlineStr">
        <is>
          <t>Ramalan DPO Minggu Ini</t>
        </is>
      </c>
      <c r="N201" s="9" t="inlineStr">
        <is>
          <t>Relate</t>
        </is>
      </c>
      <c r="O201" s="5" t="inlineStr">
        <is>
          <t>“Ramalan DPO minggu ini: akan ada yang bertanya ‘data pribadi itu apa, sih?’.”</t>
        </is>
      </c>
      <c r="P201" s="5" t="inlineStr">
        <is>
          <t>Ramalan lucu → “keberuntungan: dasbor” → CTA</t>
        </is>
      </c>
      <c r="Q201" s="24" t="n">
        <v>0.9</v>
      </c>
      <c r="R201" s="27">
        <f>IF(Q201="","",1-Q201)</f>
        <v/>
      </c>
      <c r="S201" s="5">
        <f>IF(Q201="","—",TEXT(1-Q201,"0%")&amp;" edukasi · "&amp;TEXT(Q201,"0%")&amp;" meme")</f>
        <v/>
      </c>
      <c r="T201" s="5" t="inlineStr">
        <is>
          <t>Brand</t>
        </is>
      </c>
      <c r="U201" s="5" t="inlineStr">
        <is>
          <t>—</t>
        </is>
      </c>
      <c r="V201" s="9" t="inlineStr">
        <is>
          <t>10 dtk</t>
        </is>
      </c>
      <c r="W201" s="5" t="inlineStr">
        <is>
          <t>Baru</t>
        </is>
      </c>
      <c r="X201" s="5" t="inlineStr">
        <is>
          <t>Kartu berputar; ikon bintang; teks ramalan.</t>
        </is>
      </c>
      <c r="Y201" s="5" t="inlineStr">
        <is>
          <t>Untuk organik.</t>
        </is>
      </c>
      <c r="Z201" s="5">
        <f>IF(OR(E201="Bisa",E201="Berat"),1,0)</f>
        <v/>
      </c>
      <c r="AA201" s="5">
        <f>IF(Z201=1,J201-ROW()/100000,"")</f>
        <v/>
      </c>
      <c r="AB201" s="5">
        <f>B201&amp;"|"&amp;K201</f>
        <v/>
      </c>
    </row>
    <row r="202" ht="78" customHeight="1">
      <c r="A202" s="19" t="inlineStr">
        <is>
          <t>PF14</t>
        </is>
      </c>
      <c r="B202" s="20" t="inlineStr">
        <is>
          <t>Parodi format</t>
        </is>
      </c>
      <c r="C202" s="21" t="inlineStr">
        <is>
          <t>Visual novel</t>
        </is>
      </c>
      <c r="D202" s="20" t="inlineStr">
        <is>
          <t>Kotak dialog di bawah, pilihan jawaban, latar ruangan.</t>
        </is>
      </c>
      <c r="E202" s="22" t="inlineStr">
        <is>
          <t>Sudah</t>
        </is>
      </c>
      <c r="F202" s="19" t="inlineStr">
        <is>
          <t>PF14</t>
        </is>
      </c>
      <c r="G202" s="19" t="n">
        <v>2</v>
      </c>
      <c r="H202" s="19" t="n">
        <v>8</v>
      </c>
      <c r="I202" s="19" t="n">
        <v>7</v>
      </c>
      <c r="J202" s="23">
        <f>IF(E202="Tidak cocok","",ROUND(H202*W_GAYA_WOW+I202*W_GAYA_MEREK+(11-2*G202)*W_GAYA_MUDAH,1))</f>
        <v/>
      </c>
      <c r="K202" s="19">
        <f>IF(Z202=1,COUNTIFS($B$2:$B$254,B202,$AA$2:$AA$254,"&gt;"&amp;AA202)+1,"—")</f>
        <v/>
      </c>
      <c r="L202" s="19" t="n">
        <v>6</v>
      </c>
      <c r="M202" s="21" t="inlineStr">
        <is>
          <t>Pilih Jawabanmu</t>
        </is>
      </c>
      <c r="N202" s="19" t="inlineStr">
        <is>
          <t>Relate</t>
        </is>
      </c>
      <c r="O202" s="20" t="inlineStr">
        <is>
          <t>“Auditor: ‘RoPA-nya mana?’ ▶ A. ‘Sebentar…’ ▶ B. ‘Ini.’”</t>
        </is>
      </c>
      <c r="P202" s="20" t="inlineStr">
        <is>
          <t>Pilihan A → akhir buruk → ulang → pilihan B → akhir baik → CTA</t>
        </is>
      </c>
      <c r="Q202" s="24" t="n">
        <v>0.6</v>
      </c>
      <c r="R202" s="25">
        <f>IF(Q202="","",1-Q202)</f>
        <v/>
      </c>
      <c r="S202" s="20">
        <f>IF(Q202="","—",TEXT(1-Q202,"0%")&amp;" edukasi · "&amp;TEXT(Q202,"0%")&amp;" meme")</f>
        <v/>
      </c>
      <c r="T202" s="20" t="inlineStr">
        <is>
          <t>RoPA</t>
        </is>
      </c>
      <c r="U202" s="20" t="inlineStr">
        <is>
          <t>ropa-list-baru</t>
        </is>
      </c>
      <c r="V202" s="19" t="inlineStr">
        <is>
          <t>20 dtk</t>
        </is>
      </c>
      <c r="W202" s="20" t="inlineStr">
        <is>
          <t>Baru</t>
        </is>
      </c>
      <c r="X202" s="20" t="inlineStr">
        <is>
          <t>Kotak dialog mengetik; pilihan menyala; latar bentuk sederhana.</t>
        </is>
      </c>
      <c r="Y202" s="20" t="inlineStr">
        <is>
          <t>Tokoh = siluet; tanpa gaya karakter gim tertentu.</t>
        </is>
      </c>
      <c r="Z202" s="20">
        <f>IF(OR(E202="Bisa",E202="Berat"),1,0)</f>
        <v/>
      </c>
      <c r="AA202" s="20">
        <f>IF(Z202=1,J202-ROW()/100000,"")</f>
        <v/>
      </c>
      <c r="AB202" s="20">
        <f>B202&amp;"|"&amp;K202</f>
        <v/>
      </c>
    </row>
    <row r="203" ht="78" customHeight="1">
      <c r="A203" s="9" t="inlineStr">
        <is>
          <t>PF15</t>
        </is>
      </c>
      <c r="B203" s="5" t="inlineStr">
        <is>
          <t>Parodi format</t>
        </is>
      </c>
      <c r="C203" s="11" t="inlineStr">
        <is>
          <t>Boarding pass</t>
        </is>
      </c>
      <c r="D203" s="5" t="inlineStr">
        <is>
          <t>Tiket pesawat dengan kolom asal, tujuan, dan gerbang.</t>
        </is>
      </c>
      <c r="E203" s="28" t="inlineStr">
        <is>
          <t>Bisa</t>
        </is>
      </c>
      <c r="F203" s="9" t="inlineStr"/>
      <c r="G203" s="9" t="n">
        <v>2</v>
      </c>
      <c r="H203" s="9" t="n">
        <v>8</v>
      </c>
      <c r="I203" s="9" t="n">
        <v>8</v>
      </c>
      <c r="J203" s="26">
        <f>IF(E203="Tidak cocok","",ROUND(H203*W_GAYA_WOW+I203*W_GAYA_MEREK+(11-2*G203)*W_GAYA_MUDAH,1))</f>
        <v/>
      </c>
      <c r="K203" s="9">
        <f>IF(Z203=1,COUNTIFS($B$2:$B$254,B203,$AA$2:$AA$254,"&gt;"&amp;AA203)+1,"—")</f>
        <v/>
      </c>
      <c r="L203" s="9" t="n">
        <v>6</v>
      </c>
      <c r="M203" s="11" t="inlineStr">
        <is>
          <t>Penerbangan Data</t>
        </is>
      </c>
      <c r="N203" s="9" t="inlineStr">
        <is>
          <t>Logika dipatahkan</t>
        </is>
      </c>
      <c r="O203" s="5" t="inlineStr">
        <is>
          <t>“Penumpang: data pelanggan. Tujuan: ‘cloud’. Negara: ???”</t>
        </is>
      </c>
      <c r="P203" s="5" t="inlineStr">
        <is>
          <t>Tiket dicetak → kolom negara kosong → register transfer + TIA → CTA</t>
        </is>
      </c>
      <c r="Q203" s="24" t="n">
        <v>0.4</v>
      </c>
      <c r="R203" s="27">
        <f>IF(Q203="","",1-Q203)</f>
        <v/>
      </c>
      <c r="S203" s="5">
        <f>IF(Q203="","—",TEXT(1-Q203,"0%")&amp;" edukasi · "&amp;TEXT(Q203,"0%")&amp;" meme")</f>
        <v/>
      </c>
      <c r="T203" s="5" t="inlineStr">
        <is>
          <t>Transfer Data Lintas Negara</t>
        </is>
      </c>
      <c r="U203" s="5" t="inlineStr">
        <is>
          <t>—</t>
        </is>
      </c>
      <c r="V203" s="9" t="inlineStr">
        <is>
          <t>15 dtk</t>
        </is>
      </c>
      <c r="W203" s="5" t="inlineStr">
        <is>
          <t>M14</t>
        </is>
      </c>
      <c r="X203" s="5" t="inlineStr">
        <is>
          <t>Kartu tiket; teks mengetik; sobekan kupon.</t>
        </is>
      </c>
      <c r="Y203" s="5" t="inlineStr">
        <is>
          <t>Maskapai fiktif.</t>
        </is>
      </c>
      <c r="Z203" s="5">
        <f>IF(OR(E203="Bisa",E203="Berat"),1,0)</f>
        <v/>
      </c>
      <c r="AA203" s="5">
        <f>IF(Z203=1,J203-ROW()/100000,"")</f>
        <v/>
      </c>
      <c r="AB203" s="5">
        <f>B203&amp;"|"&amp;K203</f>
        <v/>
      </c>
    </row>
    <row r="204" ht="78" customHeight="1">
      <c r="A204" s="19" t="inlineStr">
        <is>
          <t>PF16</t>
        </is>
      </c>
      <c r="B204" s="20" t="inlineStr">
        <is>
          <t>Parodi format</t>
        </is>
      </c>
      <c r="C204" s="21" t="inlineStr">
        <is>
          <t>Rapor sekolah</t>
        </is>
      </c>
      <c r="D204" s="20" t="inlineStr">
        <is>
          <t>Buku rapor: mata pelajaran, nilai, catatan wali kelas.</t>
        </is>
      </c>
      <c r="E204" s="28" t="inlineStr">
        <is>
          <t>Bisa</t>
        </is>
      </c>
      <c r="F204" s="19" t="inlineStr"/>
      <c r="G204" s="19" t="n">
        <v>2</v>
      </c>
      <c r="H204" s="19" t="n">
        <v>9</v>
      </c>
      <c r="I204" s="19" t="n">
        <v>8</v>
      </c>
      <c r="J204" s="23">
        <f>IF(E204="Tidak cocok","",ROUND(H204*W_GAYA_WOW+I204*W_GAYA_MEREK+(11-2*G204)*W_GAYA_MUDAH,1))</f>
        <v/>
      </c>
      <c r="K204" s="19">
        <f>IF(Z204=1,COUNTIFS($B$2:$B$254,B204,$AA$2:$AA$254,"&gt;"&amp;AA204)+1,"—")</f>
        <v/>
      </c>
      <c r="L204" s="19" t="n">
        <v>6</v>
      </c>
      <c r="M204" s="21" t="inlineStr">
        <is>
          <t>Rapor Kepatuhan</t>
        </is>
      </c>
      <c r="N204" s="19" t="inlineStr">
        <is>
          <t>Relate</t>
        </is>
      </c>
      <c r="O204" s="20" t="inlineStr">
        <is>
          <t>“Rapor semester ini. Catatan wali kelas: ‘sebenarnya mampu, tapi kurang mencatat’.”</t>
        </is>
      </c>
      <c r="P204" s="20" t="inlineStr">
        <is>
          <t>Nilai per mata pelajaran (per area) → catatan → skor GAP asli → CTA</t>
        </is>
      </c>
      <c r="Q204" s="24" t="n">
        <v>0.4</v>
      </c>
      <c r="R204" s="25">
        <f>IF(Q204="","",1-Q204)</f>
        <v/>
      </c>
      <c r="S204" s="20">
        <f>IF(Q204="","—",TEXT(1-Q204,"0%")&amp;" edukasi · "&amp;TEXT(Q204,"0%")&amp;" meme")</f>
        <v/>
      </c>
      <c r="T204" s="20" t="inlineStr">
        <is>
          <t>GAP Assessment</t>
        </is>
      </c>
      <c r="U204" s="20" t="inlineStr">
        <is>
          <t>gap-hasil</t>
        </is>
      </c>
      <c r="V204" s="19" t="inlineStr">
        <is>
          <t>15 dtk</t>
        </is>
      </c>
      <c r="W204" s="20" t="inlineStr">
        <is>
          <t>Baru (lokal)</t>
        </is>
      </c>
      <c r="X204" s="20" t="inlineStr">
        <is>
          <t>Tabel nilai; angka ditulis tangan; cap.</t>
        </is>
      </c>
      <c r="Y204" s="20" t="inlineStr"/>
      <c r="Z204" s="20">
        <f>IF(OR(E204="Bisa",E204="Berat"),1,0)</f>
        <v/>
      </c>
      <c r="AA204" s="20">
        <f>IF(Z204=1,J204-ROW()/100000,"")</f>
        <v/>
      </c>
      <c r="AB204" s="20">
        <f>B204&amp;"|"&amp;K204</f>
        <v/>
      </c>
    </row>
    <row r="205" ht="78" customHeight="1">
      <c r="A205" s="9" t="inlineStr">
        <is>
          <t>PF17</t>
        </is>
      </c>
      <c r="B205" s="5" t="inlineStr">
        <is>
          <t>Parodi format</t>
        </is>
      </c>
      <c r="C205" s="11" t="inlineStr">
        <is>
          <t>Undangan</t>
        </is>
      </c>
      <c r="D205" s="5" t="inlineStr">
        <is>
          <t>Kartu undangan berornamen: nama acara, waktu, tempat.</t>
        </is>
      </c>
      <c r="E205" s="28" t="inlineStr">
        <is>
          <t>Bisa</t>
        </is>
      </c>
      <c r="F205" s="9" t="inlineStr"/>
      <c r="G205" s="9" t="n">
        <v>2</v>
      </c>
      <c r="H205" s="9" t="n">
        <v>9</v>
      </c>
      <c r="I205" s="9" t="n">
        <v>7</v>
      </c>
      <c r="J205" s="26">
        <f>IF(E205="Tidak cocok","",ROUND(H205*W_GAYA_WOW+I205*W_GAYA_MEREK+(11-2*G205)*W_GAYA_MUDAH,1))</f>
        <v/>
      </c>
      <c r="K205" s="9">
        <f>IF(Z205=1,COUNTIFS($B$2:$B$254,B205,$AA$2:$AA$254,"&gt;"&amp;AA205)+1,"—")</f>
        <v/>
      </c>
      <c r="L205" s="9" t="n">
        <v>6</v>
      </c>
      <c r="M205" s="11" t="inlineStr">
        <is>
          <t>Turut Mengundang: Auditor</t>
        </is>
      </c>
      <c r="N205" s="9" t="inlineStr">
        <is>
          <t>Relate</t>
        </is>
      </c>
      <c r="O205" s="5" t="inlineStr">
        <is>
          <t>“Dengan hormat, kami mengundang Bapak/Ibu pada acara: AUDIT.”</t>
        </is>
      </c>
      <c r="P205" s="5" t="inlineStr">
        <is>
          <t>Undangan dibuka → “tanpa perlu membawa kado, cukup bukti” → dasbor &amp; bukti siap → CTA</t>
        </is>
      </c>
      <c r="Q205" s="24" t="n">
        <v>0.6</v>
      </c>
      <c r="R205" s="27">
        <f>IF(Q205="","",1-Q205)</f>
        <v/>
      </c>
      <c r="S205" s="5">
        <f>IF(Q205="","—",TEXT(1-Q205,"0%")&amp;" edukasi · "&amp;TEXT(Q205,"0%")&amp;" meme")</f>
        <v/>
      </c>
      <c r="T205" s="5" t="inlineStr">
        <is>
          <t>GAP, Dasbor</t>
        </is>
      </c>
      <c r="U205" s="5" t="inlineStr">
        <is>
          <t>dashboard</t>
        </is>
      </c>
      <c r="V205" s="9" t="inlineStr">
        <is>
          <t>15 dtk</t>
        </is>
      </c>
      <c r="W205" s="5" t="inlineStr">
        <is>
          <t>Baru (lokal)</t>
        </is>
      </c>
      <c r="X205" s="5" t="inlineStr">
        <is>
          <t>Kartu dengan ornamen; teks muncul berurutan; pita.</t>
        </is>
      </c>
      <c r="Y205" s="5" t="inlineStr"/>
      <c r="Z205" s="5">
        <f>IF(OR(E205="Bisa",E205="Berat"),1,0)</f>
        <v/>
      </c>
      <c r="AA205" s="5">
        <f>IF(Z205=1,J205-ROW()/100000,"")</f>
        <v/>
      </c>
      <c r="AB205" s="5">
        <f>B205&amp;"|"&amp;K205</f>
        <v/>
      </c>
    </row>
    <row r="206" ht="78" customHeight="1">
      <c r="A206" s="19" t="inlineStr">
        <is>
          <t>PF18</t>
        </is>
      </c>
      <c r="B206" s="20" t="inlineStr">
        <is>
          <t>Parodi format</t>
        </is>
      </c>
      <c r="C206" s="21" t="inlineStr">
        <is>
          <t>Poster film</t>
        </is>
      </c>
      <c r="D206" s="20" t="inlineStr">
        <is>
          <t>Poster bioskop: judul besar, slogan, “segera tayang”.</t>
        </is>
      </c>
      <c r="E206" s="28" t="inlineStr">
        <is>
          <t>Bisa</t>
        </is>
      </c>
      <c r="F206" s="19" t="inlineStr"/>
      <c r="G206" s="19" t="n">
        <v>2</v>
      </c>
      <c r="H206" s="19" t="n">
        <v>7</v>
      </c>
      <c r="I206" s="19" t="n">
        <v>7</v>
      </c>
      <c r="J206" s="23">
        <f>IF(E206="Tidak cocok","",ROUND(H206*W_GAYA_WOW+I206*W_GAYA_MEREK+(11-2*G206)*W_GAYA_MUDAH,1))</f>
        <v/>
      </c>
      <c r="K206" s="19">
        <f>IF(Z206=1,COUNTIFS($B$2:$B$254,B206,$AA$2:$AA$254,"&gt;"&amp;AA206)+1,"—")</f>
        <v/>
      </c>
      <c r="L206" s="19" t="n">
        <v>6</v>
      </c>
      <c r="M206" s="21" t="inlineStr">
        <is>
          <t>Segera Tayang</t>
        </is>
      </c>
      <c r="N206" s="19" t="inlineStr">
        <is>
          <t>Anomali</t>
        </is>
      </c>
      <c r="O206" s="20" t="inlineStr">
        <is>
          <t>“Segera tayang di seluruh kantor Indonesia: 16 Januari 2027.”</t>
        </is>
      </c>
      <c r="P206" s="20" t="inlineStr">
        <is>
          <t>Poster terbuka → slogan → daftar persiapan → CTA</t>
        </is>
      </c>
      <c r="Q206" s="24" t="n">
        <v>0.6</v>
      </c>
      <c r="R206" s="25">
        <f>IF(Q206="","",1-Q206)</f>
        <v/>
      </c>
      <c r="S206" s="20">
        <f>IF(Q206="","—",TEXT(1-Q206,"0%")&amp;" edukasi · "&amp;TEXT(Q206,"0%")&amp;" meme")</f>
        <v/>
      </c>
      <c r="T206" s="20" t="inlineStr">
        <is>
          <t>Program siap PP 33</t>
        </is>
      </c>
      <c r="U206" s="20" t="inlineStr">
        <is>
          <t>—</t>
        </is>
      </c>
      <c r="V206" s="19" t="inlineStr">
        <is>
          <t>10 dtk</t>
        </is>
      </c>
      <c r="W206" s="20" t="inlineStr">
        <is>
          <t>A23</t>
        </is>
      </c>
      <c r="X206" s="20" t="inlineStr">
        <is>
          <t>Tata letak poster; huruf kredit kecil; cahaya menyapu.</t>
        </is>
      </c>
      <c r="Y206" s="20" t="inlineStr">
        <is>
          <t>Judul &amp; poster fiktif.</t>
        </is>
      </c>
      <c r="Z206" s="20">
        <f>IF(OR(E206="Bisa",E206="Berat"),1,0)</f>
        <v/>
      </c>
      <c r="AA206" s="20">
        <f>IF(Z206=1,J206-ROW()/100000,"")</f>
        <v/>
      </c>
      <c r="AB206" s="20">
        <f>B206&amp;"|"&amp;K206</f>
        <v/>
      </c>
    </row>
    <row r="207" ht="78" customHeight="1">
      <c r="A207" s="9" t="inlineStr">
        <is>
          <t>PF19</t>
        </is>
      </c>
      <c r="B207" s="5" t="inlineStr">
        <is>
          <t>Parodi format</t>
        </is>
      </c>
      <c r="C207" s="11" t="inlineStr">
        <is>
          <t>Trailer film</t>
        </is>
      </c>
      <c r="D207" s="5" t="inlineStr">
        <is>
          <t>Kartu teks dramatis, dentuman, potongan cepat.</t>
        </is>
      </c>
      <c r="E207" s="28" t="inlineStr">
        <is>
          <t>Bisa</t>
        </is>
      </c>
      <c r="F207" s="9" t="inlineStr"/>
      <c r="G207" s="9" t="n">
        <v>2</v>
      </c>
      <c r="H207" s="9" t="n">
        <v>8</v>
      </c>
      <c r="I207" s="9" t="n">
        <v>7</v>
      </c>
      <c r="J207" s="26">
        <f>IF(E207="Tidak cocok","",ROUND(H207*W_GAYA_WOW+I207*W_GAYA_MEREK+(11-2*G207)*W_GAYA_MUDAH,1))</f>
        <v/>
      </c>
      <c r="K207" s="9">
        <f>IF(Z207=1,COUNTIFS($B$2:$B$254,B207,$AA$2:$AA$254,"&gt;"&amp;AA207)+1,"—")</f>
        <v/>
      </c>
      <c r="L207" s="9" t="n">
        <v>6</v>
      </c>
      <c r="M207" s="11" t="inlineStr">
        <is>
          <t>Musim Ini</t>
        </is>
      </c>
      <c r="N207" s="9" t="inlineStr">
        <is>
          <t>Anomali</t>
        </is>
      </c>
      <c r="O207" s="5" t="inlineStr">
        <is>
          <t>“Musim ini… satu peraturan… mengubah cara kantormu menyimpan data.”</t>
        </is>
      </c>
      <c r="P207" s="5" t="inlineStr">
        <is>
          <t>Kartu dramatis → potongan layar asli → judul: PP 33 → CTA</t>
        </is>
      </c>
      <c r="Q207" s="24" t="n">
        <v>0.6</v>
      </c>
      <c r="R207" s="27">
        <f>IF(Q207="","",1-Q207)</f>
        <v/>
      </c>
      <c r="S207" s="5">
        <f>IF(Q207="","—",TEXT(1-Q207,"0%")&amp;" edukasi · "&amp;TEXT(Q207,"0%")&amp;" meme")</f>
        <v/>
      </c>
      <c r="T207" s="5" t="inlineStr">
        <is>
          <t>Program siap PP 33</t>
        </is>
      </c>
      <c r="U207" s="5" t="inlineStr">
        <is>
          <t>dashboard, breach-detail</t>
        </is>
      </c>
      <c r="V207" s="9" t="inlineStr">
        <is>
          <t>15 dtk</t>
        </is>
      </c>
      <c r="W207" s="5" t="inlineStr">
        <is>
          <t>Baru</t>
        </is>
      </c>
      <c r="X207" s="5" t="inlineStr">
        <is>
          <t>Kartu hitam; huruf logam; dentum + riser.</t>
        </is>
      </c>
      <c r="Y207" s="5" t="inlineStr"/>
      <c r="Z207" s="5">
        <f>IF(OR(E207="Bisa",E207="Berat"),1,0)</f>
        <v/>
      </c>
      <c r="AA207" s="5">
        <f>IF(Z207=1,J207-ROW()/100000,"")</f>
        <v/>
      </c>
      <c r="AB207" s="5">
        <f>B207&amp;"|"&amp;K207</f>
        <v/>
      </c>
    </row>
    <row r="208" ht="78" customHeight="1">
      <c r="A208" s="19" t="inlineStr">
        <is>
          <t>PF20</t>
        </is>
      </c>
      <c r="B208" s="20" t="inlineStr">
        <is>
          <t>Parodi format</t>
        </is>
      </c>
      <c r="C208" s="21" t="inlineStr">
        <is>
          <t>Koran / berita utama</t>
        </is>
      </c>
      <c r="D208" s="20" t="inlineStr">
        <is>
          <t>Halaman depan koran dengan judul besar.</t>
        </is>
      </c>
      <c r="E208" s="28" t="inlineStr">
        <is>
          <t>Bisa</t>
        </is>
      </c>
      <c r="F208" s="19" t="inlineStr"/>
      <c r="G208" s="19" t="n">
        <v>2</v>
      </c>
      <c r="H208" s="19" t="n">
        <v>8</v>
      </c>
      <c r="I208" s="19" t="n">
        <v>8</v>
      </c>
      <c r="J208" s="23">
        <f>IF(E208="Tidak cocok","",ROUND(H208*W_GAYA_WOW+I208*W_GAYA_MEREK+(11-2*G208)*W_GAYA_MUDAH,1))</f>
        <v/>
      </c>
      <c r="K208" s="19">
        <f>IF(Z208=1,COUNTIFS($B$2:$B$254,B208,$AA$2:$AA$254,"&gt;"&amp;AA208)+1,"—")</f>
        <v/>
      </c>
      <c r="L208" s="19" t="n">
        <v>6</v>
      </c>
      <c r="M208" s="21" t="inlineStr">
        <is>
          <t>Berita Utama Besok</t>
        </is>
      </c>
      <c r="N208" s="19" t="inlineStr">
        <is>
          <t>Anomali</t>
        </is>
      </c>
      <c r="O208" s="20" t="inlineStr">
        <is>
          <t>“Berita utama yang tidak ingin kamu baca tentang perusahaanmu.”</t>
        </is>
      </c>
      <c r="P208" s="20" t="inlineStr">
        <is>
          <t>Koran berputar → judul (fiktif) → “masih bisa dicegah” → latihan insiden → CTA</t>
        </is>
      </c>
      <c r="Q208" s="24" t="n">
        <v>0.4</v>
      </c>
      <c r="R208" s="25">
        <f>IF(Q208="","",1-Q208)</f>
        <v/>
      </c>
      <c r="S208" s="20">
        <f>IF(Q208="","—",TEXT(1-Q208,"0%")&amp;" edukasi · "&amp;TEXT(Q208,"0%")&amp;" meme")</f>
        <v/>
      </c>
      <c r="T208" s="20" t="inlineStr">
        <is>
          <t>Simulasi &amp; Fire Drill</t>
        </is>
      </c>
      <c r="U208" s="20" t="inlineStr">
        <is>
          <t>fire-drill-header</t>
        </is>
      </c>
      <c r="V208" s="19" t="inlineStr">
        <is>
          <t>15 dtk</t>
        </is>
      </c>
      <c r="W208" s="20" t="inlineStr">
        <is>
          <t>Baru</t>
        </is>
      </c>
      <c r="X208" s="20" t="inlineStr">
        <is>
          <t>Tata letak kolom; judul masuk berputar; tekstur kertas.</t>
        </is>
      </c>
      <c r="Y208" s="20" t="inlineStr">
        <is>
          <t>Koran &amp; berita fiktif.</t>
        </is>
      </c>
      <c r="Z208" s="20">
        <f>IF(OR(E208="Bisa",E208="Berat"),1,0)</f>
        <v/>
      </c>
      <c r="AA208" s="20">
        <f>IF(Z208=1,J208-ROW()/100000,"")</f>
        <v/>
      </c>
      <c r="AB208" s="20">
        <f>B208&amp;"|"&amp;K208</f>
        <v/>
      </c>
    </row>
    <row r="209" ht="78" customHeight="1">
      <c r="A209" s="9" t="inlineStr">
        <is>
          <t>PF21</t>
        </is>
      </c>
      <c r="B209" s="5" t="inlineStr">
        <is>
          <t>Parodi format</t>
        </is>
      </c>
      <c r="C209" s="11" t="inlineStr">
        <is>
          <t>Label nilai gizi</t>
        </is>
      </c>
      <c r="D209" s="5" t="inlineStr">
        <is>
          <t>Label hitam-putih seperti di kemasan makanan.</t>
        </is>
      </c>
      <c r="E209" s="22" t="inlineStr">
        <is>
          <t>Sudah</t>
        </is>
      </c>
      <c r="F209" s="9" t="inlineStr">
        <is>
          <t>PF21</t>
        </is>
      </c>
      <c r="G209" s="9" t="n">
        <v>1</v>
      </c>
      <c r="H209" s="9" t="n">
        <v>9</v>
      </c>
      <c r="I209" s="9" t="n">
        <v>8</v>
      </c>
      <c r="J209" s="26">
        <f>IF(E209="Tidak cocok","",ROUND(H209*W_GAYA_WOW+I209*W_GAYA_MEREK+(11-2*G209)*W_GAYA_MUDAH,1))</f>
        <v/>
      </c>
      <c r="K209" s="9">
        <f>IF(Z209=1,COUNTIFS($B$2:$B$254,B209,$AA$2:$AA$254,"&gt;"&amp;AA209)+1,"—")</f>
        <v/>
      </c>
      <c r="L209" s="9" t="n">
        <v>6</v>
      </c>
      <c r="M209" s="11" t="inlineStr">
        <is>
          <t>Informasi Nilai Data</t>
        </is>
      </c>
      <c r="N209" s="9" t="inlineStr">
        <is>
          <t>Anomali</t>
        </is>
      </c>
      <c r="O209" s="5" t="inlineStr">
        <is>
          <t>“Informasi nilai data. Takaran saji: 1 formulir.”</t>
        </is>
      </c>
      <c r="P209" s="5" t="inlineStr">
        <is>
          <t>Label: nama, NIK, email, lokasi → “mengandung data spesifik” → tercatat di RoPA → CTA</t>
        </is>
      </c>
      <c r="Q209" s="24" t="n">
        <v>0.4</v>
      </c>
      <c r="R209" s="27">
        <f>IF(Q209="","",1-Q209)</f>
        <v/>
      </c>
      <c r="S209" s="5">
        <f>IF(Q209="","—",TEXT(1-Q209,"0%")&amp;" edukasi · "&amp;TEXT(Q209,"0%")&amp;" meme")</f>
        <v/>
      </c>
      <c r="T209" s="5" t="inlineStr">
        <is>
          <t>RoPA, Consent</t>
        </is>
      </c>
      <c r="U209" s="5" t="inlineStr">
        <is>
          <t>ropa-data-spesifik</t>
        </is>
      </c>
      <c r="V209" s="9" t="inlineStr">
        <is>
          <t>15 dtk</t>
        </is>
      </c>
      <c r="W209" s="5" t="inlineStr">
        <is>
          <t>Baru</t>
        </is>
      </c>
      <c r="X209" s="5" t="inlineStr">
        <is>
          <t>Tabel garis tebal; baris muncul; angka persen.</t>
        </is>
      </c>
      <c r="Y209" s="5" t="inlineStr"/>
      <c r="Z209" s="5">
        <f>IF(OR(E209="Bisa",E209="Berat"),1,0)</f>
        <v/>
      </c>
      <c r="AA209" s="5">
        <f>IF(Z209=1,J209-ROW()/100000,"")</f>
        <v/>
      </c>
      <c r="AB209" s="5">
        <f>B209&amp;"|"&amp;K209</f>
        <v/>
      </c>
    </row>
    <row r="210" ht="78" customHeight="1">
      <c r="A210" s="19" t="inlineStr">
        <is>
          <t>PF22</t>
        </is>
      </c>
      <c r="B210" s="20" t="inlineStr">
        <is>
          <t>Parodi format</t>
        </is>
      </c>
      <c r="C210" s="21" t="inlineStr">
        <is>
          <t>Petunjuk perakitan</t>
        </is>
      </c>
      <c r="D210" s="20" t="inlineStr">
        <is>
          <t>Gambar garis langkah demi langkah dengan nomor dan panah.</t>
        </is>
      </c>
      <c r="E210" s="22" t="inlineStr">
        <is>
          <t>Sudah</t>
        </is>
      </c>
      <c r="F210" s="19" t="inlineStr">
        <is>
          <t>PF22</t>
        </is>
      </c>
      <c r="G210" s="19" t="n">
        <v>3</v>
      </c>
      <c r="H210" s="19" t="n">
        <v>8</v>
      </c>
      <c r="I210" s="19" t="n">
        <v>8</v>
      </c>
      <c r="J210" s="23">
        <f>IF(E210="Tidak cocok","",ROUND(H210*W_GAYA_WOW+I210*W_GAYA_MEREK+(11-2*G210)*W_GAYA_MUDAH,1))</f>
        <v/>
      </c>
      <c r="K210" s="19">
        <f>IF(Z210=1,COUNTIFS($B$2:$B$254,B210,$AA$2:$AA$254,"&gt;"&amp;AA210)+1,"—")</f>
        <v/>
      </c>
      <c r="L210" s="19" t="n">
        <v>6</v>
      </c>
      <c r="M210" s="21" t="inlineStr">
        <is>
          <t>Cara Merakit Kepatuhan</t>
        </is>
      </c>
      <c r="N210" s="19" t="inlineStr">
        <is>
          <t>Relate</t>
        </is>
      </c>
      <c r="O210" s="20" t="inlineStr">
        <is>
          <t>“Langkah 1 dari 48. Sisa baut: 3.”</t>
        </is>
      </c>
      <c r="P210" s="20" t="inlineStr">
        <is>
          <t>Perakitan membingungkan → versi Nexus: wizard bertahap → CTA</t>
        </is>
      </c>
      <c r="Q210" s="24" t="n">
        <v>0.4</v>
      </c>
      <c r="R210" s="25">
        <f>IF(Q210="","",1-Q210)</f>
        <v/>
      </c>
      <c r="S210" s="20">
        <f>IF(Q210="","—",TEXT(1-Q210,"0%")&amp;" edukasi · "&amp;TEXT(Q210,"0%")&amp;" meme")</f>
        <v/>
      </c>
      <c r="T210" s="20" t="inlineStr">
        <is>
          <t>RoPA (wizard)</t>
        </is>
      </c>
      <c r="U210" s="20" t="inlineStr">
        <is>
          <t>ropa-baru</t>
        </is>
      </c>
      <c r="V210" s="19" t="inlineStr">
        <is>
          <t>15 dtk</t>
        </is>
      </c>
      <c r="W210" s="20" t="inlineStr">
        <is>
          <t>Baru</t>
        </is>
      </c>
      <c r="X210" s="20" t="inlineStr">
        <is>
          <t>Ilustrasi garis; nomor langkah; panah; sisa baut.</t>
        </is>
      </c>
      <c r="Y210" s="20" t="inlineStr">
        <is>
          <t>Gaya gambar sendiri; tanpa merek furnitur.</t>
        </is>
      </c>
      <c r="Z210" s="20">
        <f>IF(OR(E210="Bisa",E210="Berat"),1,0)</f>
        <v/>
      </c>
      <c r="AA210" s="20">
        <f>IF(Z210=1,J210-ROW()/100000,"")</f>
        <v/>
      </c>
      <c r="AB210" s="20">
        <f>B210&amp;"|"&amp;K210</f>
        <v/>
      </c>
    </row>
    <row r="211" ht="78" customHeight="1">
      <c r="A211" s="9" t="inlineStr">
        <is>
          <t>PF23</t>
        </is>
      </c>
      <c r="B211" s="5" t="inlineStr">
        <is>
          <t>Parodi format</t>
        </is>
      </c>
      <c r="C211" s="11" t="inlineStr">
        <is>
          <t>Kartu keselamatan</t>
        </is>
      </c>
      <c r="D211" s="5" t="inlineStr">
        <is>
          <t>Kartu petunjuk keselamatan dengan gambar langkah darurat.</t>
        </is>
      </c>
      <c r="E211" s="28" t="inlineStr">
        <is>
          <t>Bisa</t>
        </is>
      </c>
      <c r="F211" s="9" t="inlineStr"/>
      <c r="G211" s="9" t="n">
        <v>3</v>
      </c>
      <c r="H211" s="9" t="n">
        <v>9</v>
      </c>
      <c r="I211" s="9" t="n">
        <v>9</v>
      </c>
      <c r="J211" s="26">
        <f>IF(E211="Tidak cocok","",ROUND(H211*W_GAYA_WOW+I211*W_GAYA_MEREK+(11-2*G211)*W_GAYA_MUDAH,1))</f>
        <v/>
      </c>
      <c r="K211" s="9">
        <f>IF(Z211=1,COUNTIFS($B$2:$B$254,B211,$AA$2:$AA$254,"&gt;"&amp;AA211)+1,"—")</f>
        <v/>
      </c>
      <c r="L211" s="9" t="n">
        <v>6</v>
      </c>
      <c r="M211" s="11" t="inlineStr">
        <is>
          <t>Dalam Keadaan Darurat</t>
        </is>
      </c>
      <c r="N211" s="9" t="inlineStr">
        <is>
          <t>Anomali</t>
        </is>
      </c>
      <c r="O211" s="5" t="inlineStr">
        <is>
          <t>“Dalam keadaan darurat insiden data, tetap tenang dan ikuti lima fase berikut.”</t>
        </is>
      </c>
      <c r="P211" s="5" t="inlineStr">
        <is>
          <t>Panel 1–5: fase insiden → “pintu darurat”: templat pemberitahuan → CTA</t>
        </is>
      </c>
      <c r="Q211" s="24" t="n">
        <v>0.3</v>
      </c>
      <c r="R211" s="27">
        <f>IF(Q211="","",1-Q211)</f>
        <v/>
      </c>
      <c r="S211" s="5">
        <f>IF(Q211="","—",TEXT(1-Q211,"0%")&amp;" edukasi · "&amp;TEXT(Q211,"0%")&amp;" meme")</f>
        <v/>
      </c>
      <c r="T211" s="5" t="inlineStr">
        <is>
          <t>Manajemen Insiden</t>
        </is>
      </c>
      <c r="U211" s="5" t="inlineStr">
        <is>
          <t>breach-detail</t>
        </is>
      </c>
      <c r="V211" s="9" t="inlineStr">
        <is>
          <t>20 dtk</t>
        </is>
      </c>
      <c r="W211" s="5" t="inlineStr">
        <is>
          <t>Baru</t>
        </is>
      </c>
      <c r="X211" s="5" t="inlineStr">
        <is>
          <t>Panel ilustrasi garis; nomor; panah.</t>
        </is>
      </c>
      <c r="Y211" s="5" t="inlineStr">
        <is>
          <t>Tanpa logo maskapai.</t>
        </is>
      </c>
      <c r="Z211" s="5">
        <f>IF(OR(E211="Bisa",E211="Berat"),1,0)</f>
        <v/>
      </c>
      <c r="AA211" s="5">
        <f>IF(Z211=1,J211-ROW()/100000,"")</f>
        <v/>
      </c>
      <c r="AB211" s="5">
        <f>B211&amp;"|"&amp;K211</f>
        <v/>
      </c>
    </row>
    <row r="212" ht="78" customHeight="1">
      <c r="A212" s="19" t="inlineStr">
        <is>
          <t>PF24</t>
        </is>
      </c>
      <c r="B212" s="20" t="inlineStr">
        <is>
          <t>Parodi format</t>
        </is>
      </c>
      <c r="C212" s="21" t="inlineStr">
        <is>
          <t>Slip gaji</t>
        </is>
      </c>
      <c r="D212" s="20" t="inlineStr">
        <is>
          <t>Slip gaji dengan baris tunjangan dan potongan.</t>
        </is>
      </c>
      <c r="E212" s="22" t="inlineStr">
        <is>
          <t>Sudah</t>
        </is>
      </c>
      <c r="F212" s="19" t="inlineStr">
        <is>
          <t>PF24</t>
        </is>
      </c>
      <c r="G212" s="19" t="n">
        <v>1</v>
      </c>
      <c r="H212" s="19" t="n">
        <v>8</v>
      </c>
      <c r="I212" s="19" t="n">
        <v>6</v>
      </c>
      <c r="J212" s="23">
        <f>IF(E212="Tidak cocok","",ROUND(H212*W_GAYA_WOW+I212*W_GAYA_MEREK+(11-2*G212)*W_GAYA_MUDAH,1))</f>
        <v/>
      </c>
      <c r="K212" s="19">
        <f>IF(Z212=1,COUNTIFS($B$2:$B$254,B212,$AA$2:$AA$254,"&gt;"&amp;AA212)+1,"—")</f>
        <v/>
      </c>
      <c r="L212" s="19" t="n">
        <v>6</v>
      </c>
      <c r="M212" s="21" t="inlineStr">
        <is>
          <t>Slip Gaji DPO</t>
        </is>
      </c>
      <c r="N212" s="19" t="inlineStr">
        <is>
          <t>Relate</t>
        </is>
      </c>
      <c r="O212" s="20" t="inlineStr">
        <is>
          <t>“Tunjangan sabar: Rp0. Lembur audit: tidak tercatat.”</t>
        </is>
      </c>
      <c r="P212" s="20" t="inlineStr">
        <is>
          <t>Baris slip lucu → “bantuan: antrean kerja &amp; asisten AI” → CTA</t>
        </is>
      </c>
      <c r="Q212" s="24" t="n">
        <v>0.9</v>
      </c>
      <c r="R212" s="25">
        <f>IF(Q212="","",1-Q212)</f>
        <v/>
      </c>
      <c r="S212" s="20">
        <f>IF(Q212="","—",TEXT(1-Q212,"0%")&amp;" edukasi · "&amp;TEXT(Q212,"0%")&amp;" meme")</f>
        <v/>
      </c>
      <c r="T212" s="20" t="inlineStr">
        <is>
          <t>Dukungan PPDP</t>
        </is>
      </c>
      <c r="U212" s="20" t="inlineStr">
        <is>
          <t>—</t>
        </is>
      </c>
      <c r="V212" s="19" t="inlineStr">
        <is>
          <t>10 dtk</t>
        </is>
      </c>
      <c r="W212" s="20" t="inlineStr">
        <is>
          <t>Baru</t>
        </is>
      </c>
      <c r="X212" s="20" t="inlineStr">
        <is>
          <t>Tabel slip; baris mengetik; total.</t>
        </is>
      </c>
      <c r="Y212" s="20" t="inlineStr">
        <is>
          <t>Nominal = lelucon.</t>
        </is>
      </c>
      <c r="Z212" s="20">
        <f>IF(OR(E212="Bisa",E212="Berat"),1,0)</f>
        <v/>
      </c>
      <c r="AA212" s="20">
        <f>IF(Z212=1,J212-ROW()/100000,"")</f>
        <v/>
      </c>
      <c r="AB212" s="20">
        <f>B212&amp;"|"&amp;K212</f>
        <v/>
      </c>
    </row>
    <row r="213" ht="78" customHeight="1">
      <c r="A213" s="9" t="inlineStr">
        <is>
          <t>PF25</t>
        </is>
      </c>
      <c r="B213" s="5" t="inlineStr">
        <is>
          <t>Parodi format</t>
        </is>
      </c>
      <c r="C213" s="11" t="inlineStr">
        <is>
          <t>Judul FTV</t>
        </is>
      </c>
      <c r="D213" s="5" t="inlineStr">
        <is>
          <t>Judul sinetron panjang dengan huruf dramatis dan latar norak.</t>
        </is>
      </c>
      <c r="E213" s="28" t="inlineStr">
        <is>
          <t>Bisa</t>
        </is>
      </c>
      <c r="F213" s="9" t="inlineStr"/>
      <c r="G213" s="9" t="n">
        <v>2</v>
      </c>
      <c r="H213" s="9" t="n">
        <v>9</v>
      </c>
      <c r="I213" s="9" t="n">
        <v>6</v>
      </c>
      <c r="J213" s="26">
        <f>IF(E213="Tidak cocok","",ROUND(H213*W_GAYA_WOW+I213*W_GAYA_MEREK+(11-2*G213)*W_GAYA_MUDAH,1))</f>
        <v/>
      </c>
      <c r="K213" s="9">
        <f>IF(Z213=1,COUNTIFS($B$2:$B$254,B213,$AA$2:$AA$254,"&gt;"&amp;AA213)+1,"—")</f>
        <v/>
      </c>
      <c r="L213" s="9" t="n">
        <v>6</v>
      </c>
      <c r="M213" s="11" t="inlineStr">
        <is>
          <t>Judul FTV</t>
        </is>
      </c>
      <c r="N213" s="9" t="inlineStr">
        <is>
          <t>Relate</t>
        </is>
      </c>
      <c r="O213" s="5" t="inlineStr">
        <is>
          <t>“Aku Ditunjuk Jadi DPO Padahal Cuma Tanya Password WiFi.”</t>
        </is>
      </c>
      <c r="P213" s="5" t="inlineStr">
        <is>
          <t>Judul 1–3 makin absurd → “episode berikutnya: ikut kelas DPO Academy” → CTA</t>
        </is>
      </c>
      <c r="Q213" s="24" t="n">
        <v>0.9</v>
      </c>
      <c r="R213" s="27">
        <f>IF(Q213="","",1-Q213)</f>
        <v/>
      </c>
      <c r="S213" s="5">
        <f>IF(Q213="","—",TEXT(1-Q213,"0%")&amp;" edukasi · "&amp;TEXT(Q213,"0%")&amp;" meme")</f>
        <v/>
      </c>
      <c r="T213" s="5" t="inlineStr">
        <is>
          <t>DPO Academy</t>
        </is>
      </c>
      <c r="U213" s="5" t="inlineStr">
        <is>
          <t>dpo-academy</t>
        </is>
      </c>
      <c r="V213" s="9" t="inlineStr">
        <is>
          <t>15 dtk</t>
        </is>
      </c>
      <c r="W213" s="5" t="inlineStr">
        <is>
          <t>A36</t>
        </is>
      </c>
      <c r="X213" s="5" t="inlineStr">
        <is>
          <t>Huruf bergradasi; kilau; latar gradasi jingga.</t>
        </is>
      </c>
      <c r="Y213" s="5" t="inlineStr">
        <is>
          <t>Tanpa logo stasiun TV.</t>
        </is>
      </c>
      <c r="Z213" s="5">
        <f>IF(OR(E213="Bisa",E213="Berat"),1,0)</f>
        <v/>
      </c>
      <c r="AA213" s="5">
        <f>IF(Z213=1,J213-ROW()/100000,"")</f>
        <v/>
      </c>
      <c r="AB213" s="5">
        <f>B213&amp;"|"&amp;K213</f>
        <v/>
      </c>
    </row>
    <row r="214" ht="78" customHeight="1">
      <c r="A214" s="19" t="inlineStr">
        <is>
          <t>PF26</t>
        </is>
      </c>
      <c r="B214" s="20" t="inlineStr">
        <is>
          <t>Parodi format</t>
        </is>
      </c>
      <c r="C214" s="21" t="inlineStr">
        <is>
          <t>Dokumenter alam</t>
        </is>
      </c>
      <c r="D214" s="20" t="inlineStr">
        <is>
          <t>Narasi dokumenter satwa dengan teks keterangan spesies.</t>
        </is>
      </c>
      <c r="E214" s="28" t="inlineStr">
        <is>
          <t>Bisa</t>
        </is>
      </c>
      <c r="F214" s="19" t="inlineStr"/>
      <c r="G214" s="19" t="n">
        <v>2</v>
      </c>
      <c r="H214" s="19" t="n">
        <v>8</v>
      </c>
      <c r="I214" s="19" t="n">
        <v>7</v>
      </c>
      <c r="J214" s="23">
        <f>IF(E214="Tidak cocok","",ROUND(H214*W_GAYA_WOW+I214*W_GAYA_MEREK+(11-2*G214)*W_GAYA_MUDAH,1))</f>
        <v/>
      </c>
      <c r="K214" s="19">
        <f>IF(Z214=1,COUNTIFS($B$2:$B$254,B214,$AA$2:$AA$254,"&gt;"&amp;AA214)+1,"—")</f>
        <v/>
      </c>
      <c r="L214" s="19" t="n">
        <v>6</v>
      </c>
      <c r="M214" s="21" t="inlineStr">
        <is>
          <t>Di Habitat Aslinya</t>
        </is>
      </c>
      <c r="N214" s="19" t="inlineStr">
        <is>
          <t>Relate</t>
        </is>
      </c>
      <c r="O214" s="20" t="inlineStr">
        <is>
          <t>“Di habitat aslinya, DPO jarang terlihat makan siang.”</t>
        </is>
      </c>
      <c r="P214" s="20" t="inlineStr">
        <is>
          <t>Narasi pengamatan → “spesies ini kini dibantu antrean kerja” → CTA</t>
        </is>
      </c>
      <c r="Q214" s="24" t="n">
        <v>0.6</v>
      </c>
      <c r="R214" s="25">
        <f>IF(Q214="","",1-Q214)</f>
        <v/>
      </c>
      <c r="S214" s="20">
        <f>IF(Q214="","—",TEXT(1-Q214,"0%")&amp;" edukasi · "&amp;TEXT(Q214,"0%")&amp;" meme")</f>
        <v/>
      </c>
      <c r="T214" s="20" t="inlineStr">
        <is>
          <t>Dukungan PPDP</t>
        </is>
      </c>
      <c r="U214" s="20" t="inlineStr">
        <is>
          <t>dashboard</t>
        </is>
      </c>
      <c r="V214" s="19" t="inlineStr">
        <is>
          <t>15 dtk</t>
        </is>
      </c>
      <c r="W214" s="20" t="inlineStr">
        <is>
          <t>A21 (varian)</t>
        </is>
      </c>
      <c r="X214" s="20" t="inlineStr">
        <is>
          <t>Teks keterangan serif; bingkai sinematik; ilustrasi bentuk.</t>
        </is>
      </c>
      <c r="Y214" s="20" t="inlineStr"/>
      <c r="Z214" s="20">
        <f>IF(OR(E214="Bisa",E214="Berat"),1,0)</f>
        <v/>
      </c>
      <c r="AA214" s="20">
        <f>IF(Z214=1,J214-ROW()/100000,"")</f>
        <v/>
      </c>
      <c r="AB214" s="20">
        <f>B214&amp;"|"&amp;K214</f>
        <v/>
      </c>
    </row>
    <row r="215" ht="78" customHeight="1">
      <c r="A215" s="9" t="inlineStr">
        <is>
          <t>PF27</t>
        </is>
      </c>
      <c r="B215" s="5" t="inlineStr">
        <is>
          <t>Parodi format</t>
        </is>
      </c>
      <c r="C215" s="11" t="inlineStr">
        <is>
          <t>Ulasan bintang</t>
        </is>
      </c>
      <c r="D215" s="5" t="inlineStr">
        <is>
          <t>Kartu ulasan pelanggan dengan bintang.</t>
        </is>
      </c>
      <c r="E215" s="28" t="inlineStr">
        <is>
          <t>Bisa</t>
        </is>
      </c>
      <c r="F215" s="9" t="inlineStr"/>
      <c r="G215" s="9" t="n">
        <v>1</v>
      </c>
      <c r="H215" s="9" t="n">
        <v>8</v>
      </c>
      <c r="I215" s="9" t="n">
        <v>8</v>
      </c>
      <c r="J215" s="26">
        <f>IF(E215="Tidak cocok","",ROUND(H215*W_GAYA_WOW+I215*W_GAYA_MEREK+(11-2*G215)*W_GAYA_MUDAH,1))</f>
        <v/>
      </c>
      <c r="K215" s="9">
        <f>IF(Z215=1,COUNTIFS($B$2:$B$254,B215,$AA$2:$AA$254,"&gt;"&amp;AA215)+1,"—")</f>
        <v/>
      </c>
      <c r="L215" s="9" t="n">
        <v>6</v>
      </c>
      <c r="M215" s="11" t="inlineStr">
        <is>
          <t>Ulasan Bintang 1</t>
        </is>
      </c>
      <c r="N215" s="9" t="inlineStr">
        <is>
          <t>Anomali</t>
        </is>
      </c>
      <c r="O215" s="5" t="inlineStr">
        <is>
          <t>“★☆☆☆☆ ‘Sudah minta hapus data tiga kali.’”</t>
        </is>
      </c>
      <c r="P215" s="5" t="inlineStr">
        <is>
          <t>Ulasan (ilustrasi) → tenggat &amp; pelacakan DSR → CTA</t>
        </is>
      </c>
      <c r="Q215" s="24" t="n">
        <v>0.4</v>
      </c>
      <c r="R215" s="27">
        <f>IF(Q215="","",1-Q215)</f>
        <v/>
      </c>
      <c r="S215" s="5">
        <f>IF(Q215="","—",TEXT(1-Q215,"0%")&amp;" edukasi · "&amp;TEXT(Q215,"0%")&amp;" meme")</f>
        <v/>
      </c>
      <c r="T215" s="5" t="inlineStr">
        <is>
          <t>DSR</t>
        </is>
      </c>
      <c r="U215" s="5" t="inlineStr">
        <is>
          <t>dsr-detail</t>
        </is>
      </c>
      <c r="V215" s="9" t="inlineStr">
        <is>
          <t>10 dtk</t>
        </is>
      </c>
      <c r="W215" s="5" t="inlineStr">
        <is>
          <t>Baru</t>
        </is>
      </c>
      <c r="X215" s="5" t="inlineStr">
        <is>
          <t>Kartu ulasan; bintang terisi; teks mengetik.</t>
        </is>
      </c>
      <c r="Y215" s="5" t="inlineStr">
        <is>
          <t>Ulasan fiktif; beri label ilustrasi.</t>
        </is>
      </c>
      <c r="Z215" s="5">
        <f>IF(OR(E215="Bisa",E215="Berat"),1,0)</f>
        <v/>
      </c>
      <c r="AA215" s="5">
        <f>IF(Z215=1,J215-ROW()/100000,"")</f>
        <v/>
      </c>
      <c r="AB215" s="5">
        <f>B215&amp;"|"&amp;K215</f>
        <v/>
      </c>
    </row>
    <row r="216" ht="78" customHeight="1">
      <c r="A216" s="19" t="inlineStr">
        <is>
          <t>PF28</t>
        </is>
      </c>
      <c r="B216" s="20" t="inlineStr">
        <is>
          <t>Parodi format</t>
        </is>
      </c>
      <c r="C216" s="21" t="inlineStr">
        <is>
          <t>Trailer horor</t>
        </is>
      </c>
      <c r="D216" s="20" t="inlineStr">
        <is>
          <t>Layar gelap, teks berkedip, suara napas.</t>
        </is>
      </c>
      <c r="E216" s="22" t="inlineStr">
        <is>
          <t>Sudah</t>
        </is>
      </c>
      <c r="F216" s="19" t="inlineStr">
        <is>
          <t>PF28</t>
        </is>
      </c>
      <c r="G216" s="19" t="n">
        <v>2</v>
      </c>
      <c r="H216" s="19" t="n">
        <v>8</v>
      </c>
      <c r="I216" s="19" t="n">
        <v>6</v>
      </c>
      <c r="J216" s="23">
        <f>IF(E216="Tidak cocok","",ROUND(H216*W_GAYA_WOW+I216*W_GAYA_MEREK+(11-2*G216)*W_GAYA_MUDAH,1))</f>
        <v/>
      </c>
      <c r="K216" s="19">
        <f>IF(Z216=1,COUNTIFS($B$2:$B$254,B216,$AA$2:$AA$254,"&gt;"&amp;AA216)+1,"—")</f>
        <v/>
      </c>
      <c r="L216" s="19" t="n">
        <v>6</v>
      </c>
      <c r="M216" s="21" t="inlineStr">
        <is>
          <t>Jangan Buka File Itu</t>
        </is>
      </c>
      <c r="N216" s="19" t="inlineStr">
        <is>
          <t>Reverse psychology</t>
        </is>
      </c>
      <c r="O216" s="20" t="inlineStr">
        <is>
          <t>“Jangan buka file itu.”</t>
        </is>
      </c>
      <c r="P216" s="20" t="inlineStr">
        <is>
          <t>File RoPA lama terbuka sendiri → 14 tab → lampu menyala: diimpor dengan AI → CTA</t>
        </is>
      </c>
      <c r="Q216" s="24" t="n">
        <v>0.8</v>
      </c>
      <c r="R216" s="25">
        <f>IF(Q216="","",1-Q216)</f>
        <v/>
      </c>
      <c r="S216" s="20">
        <f>IF(Q216="","—",TEXT(1-Q216,"0%")&amp;" edukasi · "&amp;TEXT(Q216,"0%")&amp;" meme")</f>
        <v/>
      </c>
      <c r="T216" s="20" t="inlineStr">
        <is>
          <t>Document Import, RoPA</t>
        </is>
      </c>
      <c r="U216" s="20" t="inlineStr">
        <is>
          <t>ropa-list-baru</t>
        </is>
      </c>
      <c r="V216" s="19" t="inlineStr">
        <is>
          <t>15 dtk</t>
        </is>
      </c>
      <c r="W216" s="20" t="inlineStr">
        <is>
          <t>Baru</t>
        </is>
      </c>
      <c r="X216" s="20" t="inlineStr">
        <is>
          <t>Flicker; vignette pekat; teks bergetar.</t>
        </is>
      </c>
      <c r="Y216" s="20" t="inlineStr"/>
      <c r="Z216" s="20">
        <f>IF(OR(E216="Bisa",E216="Berat"),1,0)</f>
        <v/>
      </c>
      <c r="AA216" s="20">
        <f>IF(Z216=1,J216-ROW()/100000,"")</f>
        <v/>
      </c>
      <c r="AB216" s="20">
        <f>B216&amp;"|"&amp;K216</f>
        <v/>
      </c>
    </row>
    <row r="217" ht="78" customHeight="1">
      <c r="A217" s="9" t="inlineStr">
        <is>
          <t>PF29</t>
        </is>
      </c>
      <c r="B217" s="5" t="inlineStr">
        <is>
          <t>Parodi format</t>
        </is>
      </c>
      <c r="C217" s="11" t="inlineStr">
        <is>
          <t>Pengumuman stasiun</t>
        </is>
      </c>
      <c r="D217" s="5" t="inlineStr">
        <is>
          <t>Papan informasi dan suara pengumuman.</t>
        </is>
      </c>
      <c r="E217" s="28" t="inlineStr">
        <is>
          <t>Bisa</t>
        </is>
      </c>
      <c r="F217" s="9" t="inlineStr"/>
      <c r="G217" s="9" t="n">
        <v>2</v>
      </c>
      <c r="H217" s="9" t="n">
        <v>7</v>
      </c>
      <c r="I217" s="9" t="n">
        <v>7</v>
      </c>
      <c r="J217" s="26">
        <f>IF(E217="Tidak cocok","",ROUND(H217*W_GAYA_WOW+I217*W_GAYA_MEREK+(11-2*G217)*W_GAYA_MUDAH,1))</f>
        <v/>
      </c>
      <c r="K217" s="9">
        <f>IF(Z217=1,COUNTIFS($B$2:$B$254,B217,$AA$2:$AA$254,"&gt;"&amp;AA217)+1,"—")</f>
        <v/>
      </c>
      <c r="L217" s="9" t="n">
        <v>6</v>
      </c>
      <c r="M217" s="11" t="inlineStr">
        <is>
          <t>Perhatian, Perhatian</t>
        </is>
      </c>
      <c r="N217" s="9" t="inlineStr">
        <is>
          <t>Relate</t>
        </is>
      </c>
      <c r="O217" s="5" t="inlineStr">
        <is>
          <t>“Perhatian: data tujuan luar negeri dipersilakan melapor ke meja transfer.”</t>
        </is>
      </c>
      <c r="P217" s="5" t="inlineStr">
        <is>
          <t>Pengumuman → papan: tujuan &amp; dasar pelindungan → register transfer → CTA</t>
        </is>
      </c>
      <c r="Q217" s="24" t="n">
        <v>0.6</v>
      </c>
      <c r="R217" s="27">
        <f>IF(Q217="","",1-Q217)</f>
        <v/>
      </c>
      <c r="S217" s="5">
        <f>IF(Q217="","—",TEXT(1-Q217,"0%")&amp;" edukasi · "&amp;TEXT(Q217,"0%")&amp;" meme")</f>
        <v/>
      </c>
      <c r="T217" s="5" t="inlineStr">
        <is>
          <t>Transfer Data Lintas Negara</t>
        </is>
      </c>
      <c r="U217" s="5" t="inlineStr">
        <is>
          <t>—</t>
        </is>
      </c>
      <c r="V217" s="9" t="inlineStr">
        <is>
          <t>15 dtk</t>
        </is>
      </c>
      <c r="W217" s="5" t="inlineStr">
        <is>
          <t>Baru</t>
        </is>
      </c>
      <c r="X217" s="5" t="inlineStr">
        <is>
          <t>Papan jadwal; teks bergulir; suara TTS dengan efek aula.</t>
        </is>
      </c>
      <c r="Y217" s="5" t="inlineStr">
        <is>
          <t>Tanpa nama/lambang operator.</t>
        </is>
      </c>
      <c r="Z217" s="5">
        <f>IF(OR(E217="Bisa",E217="Berat"),1,0)</f>
        <v/>
      </c>
      <c r="AA217" s="5">
        <f>IF(Z217=1,J217-ROW()/100000,"")</f>
        <v/>
      </c>
      <c r="AB217" s="5">
        <f>B217&amp;"|"&amp;K217</f>
        <v/>
      </c>
    </row>
    <row r="218" ht="78" customHeight="1">
      <c r="A218" s="19" t="inlineStr">
        <is>
          <t>PF30</t>
        </is>
      </c>
      <c r="B218" s="20" t="inlineStr">
        <is>
          <t>Parodi format</t>
        </is>
      </c>
      <c r="C218" s="21" t="inlineStr">
        <is>
          <t>Siaran olahraga (tayangan ulang)</t>
        </is>
      </c>
      <c r="D218" s="20" t="inlineStr">
        <is>
          <t>Papan skor, garis analisis, dan tayangan ulang lambat.</t>
        </is>
      </c>
      <c r="E218" s="28" t="inlineStr">
        <is>
          <t>Bisa</t>
        </is>
      </c>
      <c r="F218" s="19" t="inlineStr"/>
      <c r="G218" s="19" t="n">
        <v>3</v>
      </c>
      <c r="H218" s="19" t="n">
        <v>9</v>
      </c>
      <c r="I218" s="19" t="n">
        <v>8</v>
      </c>
      <c r="J218" s="23">
        <f>IF(E218="Tidak cocok","",ROUND(H218*W_GAYA_WOW+I218*W_GAYA_MEREK+(11-2*G218)*W_GAYA_MUDAH,1))</f>
        <v/>
      </c>
      <c r="K218" s="19">
        <f>IF(Z218=1,COUNTIFS($B$2:$B$254,B218,$AA$2:$AA$254,"&gt;"&amp;AA218)+1,"—")</f>
        <v/>
      </c>
      <c r="L218" s="19" t="n">
        <v>6</v>
      </c>
      <c r="M218" s="21" t="inlineStr">
        <is>
          <t>Tayangan Ulang</t>
        </is>
      </c>
      <c r="N218" s="19" t="inlineStr">
        <is>
          <t>Anomali</t>
        </is>
      </c>
      <c r="O218" s="20" t="inlineStr">
        <is>
          <t>“Kita lihat tayangan ulangnya: siapa yang terakhir menyentuh data ini?”</t>
        </is>
      </c>
      <c r="P218" s="20" t="inlineStr">
        <is>
          <t>Tayangan ulang log → garis analisis → keputusan: tercatat → CTA</t>
        </is>
      </c>
      <c r="Q218" s="24" t="n">
        <v>0.4</v>
      </c>
      <c r="R218" s="25">
        <f>IF(Q218="","",1-Q218)</f>
        <v/>
      </c>
      <c r="S218" s="20">
        <f>IF(Q218="","—",TEXT(1-Q218,"0%")&amp;" edukasi · "&amp;TEXT(Q218,"0%")&amp;" meme")</f>
        <v/>
      </c>
      <c r="T218" s="20" t="inlineStr">
        <is>
          <t>Log audit</t>
        </is>
      </c>
      <c r="U218" s="20" t="inlineStr">
        <is>
          <t>—</t>
        </is>
      </c>
      <c r="V218" s="19" t="inlineStr">
        <is>
          <t>15 dtk</t>
        </is>
      </c>
      <c r="W218" s="20" t="inlineStr">
        <is>
          <t>A42</t>
        </is>
      </c>
      <c r="X218" s="20" t="inlineStr">
        <is>
          <t>Papan skor; garis digambar di atas layar; label “tayangan ulang”.</t>
        </is>
      </c>
      <c r="Y218" s="20" t="inlineStr">
        <is>
          <t>Tanpa logo liga/stasiun.</t>
        </is>
      </c>
      <c r="Z218" s="20">
        <f>IF(OR(E218="Bisa",E218="Berat"),1,0)</f>
        <v/>
      </c>
      <c r="AA218" s="20">
        <f>IF(Z218=1,J218-ROW()/100000,"")</f>
        <v/>
      </c>
      <c r="AB218" s="20">
        <f>B218&amp;"|"&amp;K218</f>
        <v/>
      </c>
    </row>
    <row r="219" ht="78" customHeight="1">
      <c r="A219" s="9" t="inlineStr">
        <is>
          <t>PF31</t>
        </is>
      </c>
      <c r="B219" s="5" t="inlineStr">
        <is>
          <t>Parodi format</t>
        </is>
      </c>
      <c r="C219" s="11" t="inlineStr">
        <is>
          <t>Bursa / ticker</t>
        </is>
      </c>
      <c r="D219" s="5" t="inlineStr">
        <is>
          <t>Angka indeks dan grafik garis naik-turun dengan teks berjalan.</t>
        </is>
      </c>
      <c r="E219" s="28" t="inlineStr">
        <is>
          <t>Bisa</t>
        </is>
      </c>
      <c r="F219" s="9" t="inlineStr"/>
      <c r="G219" s="9" t="n">
        <v>2</v>
      </c>
      <c r="H219" s="9" t="n">
        <v>7</v>
      </c>
      <c r="I219" s="9" t="n">
        <v>8</v>
      </c>
      <c r="J219" s="26">
        <f>IF(E219="Tidak cocok","",ROUND(H219*W_GAYA_WOW+I219*W_GAYA_MEREK+(11-2*G219)*W_GAYA_MUDAH,1))</f>
        <v/>
      </c>
      <c r="K219" s="9">
        <f>IF(Z219=1,COUNTIFS($B$2:$B$254,B219,$AA$2:$AA$254,"&gt;"&amp;AA219)+1,"—")</f>
        <v/>
      </c>
      <c r="L219" s="9" t="n">
        <v>6</v>
      </c>
      <c r="M219" s="11" t="inlineStr">
        <is>
          <t>Indeks Kepatuhan</t>
        </is>
      </c>
      <c r="N219" s="9" t="inlineStr">
        <is>
          <t>Anomali</t>
        </is>
      </c>
      <c r="O219" s="5" t="inlineStr">
        <is>
          <t>“Indeks kepatuhan ditutup menguat di 81.”</t>
        </is>
      </c>
      <c r="P219" s="5" t="inlineStr">
        <is>
          <t>Grafik tren per modul → skor → CTA</t>
        </is>
      </c>
      <c r="Q219" s="24" t="n">
        <v>0.4</v>
      </c>
      <c r="R219" s="27">
        <f>IF(Q219="","",1-Q219)</f>
        <v/>
      </c>
      <c r="S219" s="5">
        <f>IF(Q219="","—",TEXT(1-Q219,"0%")&amp;" edukasi · "&amp;TEXT(Q219,"0%")&amp;" meme")</f>
        <v/>
      </c>
      <c r="T219" s="5" t="inlineStr">
        <is>
          <t>Dasbor (tren)</t>
        </is>
      </c>
      <c r="U219" s="5" t="inlineStr">
        <is>
          <t>dashboard-postur</t>
        </is>
      </c>
      <c r="V219" s="9" t="inlineStr">
        <is>
          <t>10 dtk</t>
        </is>
      </c>
      <c r="W219" s="5" t="inlineStr">
        <is>
          <t>Baru</t>
        </is>
      </c>
      <c r="X219" s="5" t="inlineStr">
        <is>
          <t>Grafik garis digambar; ticker; panah hijau/merah.</t>
        </is>
      </c>
      <c r="Y219" s="5" t="inlineStr">
        <is>
          <t>Angka dari data demo di screenshot.</t>
        </is>
      </c>
      <c r="Z219" s="5">
        <f>IF(OR(E219="Bisa",E219="Berat"),1,0)</f>
        <v/>
      </c>
      <c r="AA219" s="5">
        <f>IF(Z219=1,J219-ROW()/100000,"")</f>
        <v/>
      </c>
      <c r="AB219" s="5">
        <f>B219&amp;"|"&amp;K219</f>
        <v/>
      </c>
    </row>
    <row r="220" ht="78" customHeight="1">
      <c r="A220" s="19" t="inlineStr">
        <is>
          <t>PF32</t>
        </is>
      </c>
      <c r="B220" s="20" t="inlineStr">
        <is>
          <t>Parodi format</t>
        </is>
      </c>
      <c r="C220" s="21" t="inlineStr">
        <is>
          <t>Label museum</t>
        </is>
      </c>
      <c r="D220" s="20" t="inlineStr">
        <is>
          <t>Benda di etalase dengan kartu keterangan museum.</t>
        </is>
      </c>
      <c r="E220" s="28" t="inlineStr">
        <is>
          <t>Bisa</t>
        </is>
      </c>
      <c r="F220" s="19" t="inlineStr"/>
      <c r="G220" s="19" t="n">
        <v>2</v>
      </c>
      <c r="H220" s="19" t="n">
        <v>9</v>
      </c>
      <c r="I220" s="19" t="n">
        <v>8</v>
      </c>
      <c r="J220" s="23">
        <f>IF(E220="Tidak cocok","",ROUND(H220*W_GAYA_WOW+I220*W_GAYA_MEREK+(11-2*G220)*W_GAYA_MUDAH,1))</f>
        <v/>
      </c>
      <c r="K220" s="19">
        <f>IF(Z220=1,COUNTIFS($B$2:$B$254,B220,$AA$2:$AA$254,"&gt;"&amp;AA220)+1,"—")</f>
        <v/>
      </c>
      <c r="L220" s="19" t="n">
        <v>6</v>
      </c>
      <c r="M220" s="21" t="inlineStr">
        <is>
          <t>Artefak</t>
        </is>
      </c>
      <c r="N220" s="19" t="inlineStr">
        <is>
          <t>Relate</t>
        </is>
      </c>
      <c r="O220" s="20" t="inlineStr">
        <is>
          <t>“Artefak: spreadsheet RoPA, sekitar 2019. Bahan: 14 tab, 1 orang yang paham.”</t>
        </is>
      </c>
      <c r="P220" s="20" t="inlineStr">
        <is>
          <t>Artefak 1–2 → “koleksi terbaru: register terpusat” → CTA</t>
        </is>
      </c>
      <c r="Q220" s="24" t="n">
        <v>0.4</v>
      </c>
      <c r="R220" s="25">
        <f>IF(Q220="","",1-Q220)</f>
        <v/>
      </c>
      <c r="S220" s="20">
        <f>IF(Q220="","—",TEXT(1-Q220,"0%")&amp;" edukasi · "&amp;TEXT(Q220,"0%")&amp;" meme")</f>
        <v/>
      </c>
      <c r="T220" s="20" t="inlineStr">
        <is>
          <t>RoPA</t>
        </is>
      </c>
      <c r="U220" s="20" t="inlineStr">
        <is>
          <t>ropa-list-baru</t>
        </is>
      </c>
      <c r="V220" s="19" t="inlineStr">
        <is>
          <t>15 dtk</t>
        </is>
      </c>
      <c r="W220" s="20" t="inlineStr">
        <is>
          <t>M04 (varian)</t>
        </is>
      </c>
      <c r="X220" s="20" t="inlineStr">
        <is>
          <t>Etalase; lampu sorot; kartu keterangan serif.</t>
        </is>
      </c>
      <c r="Y220" s="20" t="inlineStr"/>
      <c r="Z220" s="20">
        <f>IF(OR(E220="Bisa",E220="Berat"),1,0)</f>
        <v/>
      </c>
      <c r="AA220" s="20">
        <f>IF(Z220=1,J220-ROW()/100000,"")</f>
        <v/>
      </c>
      <c r="AB220" s="20">
        <f>B220&amp;"|"&amp;K220</f>
        <v/>
      </c>
    </row>
    <row r="221" ht="78" customHeight="1">
      <c r="A221" s="9" t="inlineStr">
        <is>
          <t>PF33</t>
        </is>
      </c>
      <c r="B221" s="5" t="inlineStr">
        <is>
          <t>Parodi format</t>
        </is>
      </c>
      <c r="C221" s="11" t="inlineStr">
        <is>
          <t>Peta harta karun</t>
        </is>
      </c>
      <c r="D221" s="5" t="inlineStr">
        <is>
          <t>Peta kertas tua dengan garis putus-putus dan tanda X.</t>
        </is>
      </c>
      <c r="E221" s="28" t="inlineStr">
        <is>
          <t>Bisa</t>
        </is>
      </c>
      <c r="F221" s="9" t="inlineStr"/>
      <c r="G221" s="9" t="n">
        <v>2</v>
      </c>
      <c r="H221" s="9" t="n">
        <v>7</v>
      </c>
      <c r="I221" s="9" t="n">
        <v>7</v>
      </c>
      <c r="J221" s="26">
        <f>IF(E221="Tidak cocok","",ROUND(H221*W_GAYA_WOW+I221*W_GAYA_MEREK+(11-2*G221)*W_GAYA_MUDAH,1))</f>
        <v/>
      </c>
      <c r="K221" s="9">
        <f>IF(Z221=1,COUNTIFS($B$2:$B$254,B221,$AA$2:$AA$254,"&gt;"&amp;AA221)+1,"—")</f>
        <v/>
      </c>
      <c r="L221" s="9" t="n">
        <v>6</v>
      </c>
      <c r="M221" s="11" t="inlineStr">
        <is>
          <t>X Menandai Lokasinya</t>
        </is>
      </c>
      <c r="N221" s="9" t="inlineStr">
        <is>
          <t>Anomali</t>
        </is>
      </c>
      <c r="O221" s="5" t="inlineStr">
        <is>
          <t>“Di peta ini ada 5 tanda X. Semuanya data pribadi.”</t>
        </is>
      </c>
      <c r="P221" s="5" t="inlineStr">
        <is>
          <t>Garis menuju X → tiap X = sumber data → katalog sistem → CTA</t>
        </is>
      </c>
      <c r="Q221" s="24" t="n">
        <v>0.6</v>
      </c>
      <c r="R221" s="27">
        <f>IF(Q221="","",1-Q221)</f>
        <v/>
      </c>
      <c r="S221" s="5">
        <f>IF(Q221="","—",TEXT(1-Q221,"0%")&amp;" edukasi · "&amp;TEXT(Q221,"0%")&amp;" meme")</f>
        <v/>
      </c>
      <c r="T221" s="5" t="inlineStr">
        <is>
          <t>Data Discovery</t>
        </is>
      </c>
      <c r="U221" s="5" t="inlineStr">
        <is>
          <t>—</t>
        </is>
      </c>
      <c r="V221" s="9" t="inlineStr">
        <is>
          <t>15 dtk</t>
        </is>
      </c>
      <c r="W221" s="5" t="inlineStr">
        <is>
          <t>Baru</t>
        </is>
      </c>
      <c r="X221" s="5" t="inlineStr">
        <is>
          <t>Garis putus digambar; tekstur kertas; X dicap.</t>
        </is>
      </c>
      <c r="Y221" s="5" t="inlineStr">
        <is>
          <t>Angka = ilustrasi.</t>
        </is>
      </c>
      <c r="Z221" s="5">
        <f>IF(OR(E221="Bisa",E221="Berat"),1,0)</f>
        <v/>
      </c>
      <c r="AA221" s="5">
        <f>IF(Z221=1,J221-ROW()/100000,"")</f>
        <v/>
      </c>
      <c r="AB221" s="5">
        <f>B221&amp;"|"&amp;K221</f>
        <v/>
      </c>
    </row>
    <row r="222" ht="78" customHeight="1">
      <c r="A222" s="19" t="inlineStr">
        <is>
          <t>PF34</t>
        </is>
      </c>
      <c r="B222" s="20" t="inlineStr">
        <is>
          <t>Parodi format</t>
        </is>
      </c>
      <c r="C222" s="21" t="inlineStr">
        <is>
          <t>Ular tangga</t>
        </is>
      </c>
      <c r="D222" s="20" t="inlineStr">
        <is>
          <t>Papan permainan; bidak naik tangga atau turun ular.</t>
        </is>
      </c>
      <c r="E222" s="22" t="inlineStr">
        <is>
          <t>Sudah</t>
        </is>
      </c>
      <c r="F222" s="19" t="inlineStr">
        <is>
          <t>PF34</t>
        </is>
      </c>
      <c r="G222" s="19" t="n">
        <v>3</v>
      </c>
      <c r="H222" s="19" t="n">
        <v>9</v>
      </c>
      <c r="I222" s="19" t="n">
        <v>8</v>
      </c>
      <c r="J222" s="23">
        <f>IF(E222="Tidak cocok","",ROUND(H222*W_GAYA_WOW+I222*W_GAYA_MEREK+(11-2*G222)*W_GAYA_MUDAH,1))</f>
        <v/>
      </c>
      <c r="K222" s="19">
        <f>IF(Z222=1,COUNTIFS($B$2:$B$254,B222,$AA$2:$AA$254,"&gt;"&amp;AA222)+1,"—")</f>
        <v/>
      </c>
      <c r="L222" s="19" t="n">
        <v>6</v>
      </c>
      <c r="M222" s="21" t="inlineStr">
        <is>
          <t>Ular Tangga Kepatuhan</t>
        </is>
      </c>
      <c r="N222" s="19" t="inlineStr">
        <is>
          <t>Relate</t>
        </is>
      </c>
      <c r="O222" s="20" t="inlineStr">
        <is>
          <t>“Kotak 47: lupa mencatat pihak ketiga. Turun ke kotak 12.”</t>
        </is>
      </c>
      <c r="P222" s="20" t="inlineStr">
        <is>
          <t>Bidak naik tangga (RoPA, DPIA) → kena ular (kelalaian) → tangga panjang: Nexus → CTA</t>
        </is>
      </c>
      <c r="Q222" s="24" t="n">
        <v>0.4</v>
      </c>
      <c r="R222" s="25">
        <f>IF(Q222="","",1-Q222)</f>
        <v/>
      </c>
      <c r="S222" s="20">
        <f>IF(Q222="","—",TEXT(1-Q222,"0%")&amp;" edukasi · "&amp;TEXT(Q222,"0%")&amp;" meme")</f>
        <v/>
      </c>
      <c r="T222" s="20" t="inlineStr">
        <is>
          <t>Platform</t>
        </is>
      </c>
      <c r="U222" s="20" t="inlineStr">
        <is>
          <t>—</t>
        </is>
      </c>
      <c r="V222" s="19" t="inlineStr">
        <is>
          <t>20 dtk</t>
        </is>
      </c>
      <c r="W222" s="20" t="inlineStr">
        <is>
          <t>Baru (lokal)</t>
        </is>
      </c>
      <c r="X222" s="20" t="inlineStr">
        <is>
          <t>Grid bernomor; bidak melompat; ular &amp; tangga path.</t>
        </is>
      </c>
      <c r="Y222" s="20" t="inlineStr"/>
      <c r="Z222" s="20">
        <f>IF(OR(E222="Bisa",E222="Berat"),1,0)</f>
        <v/>
      </c>
      <c r="AA222" s="20">
        <f>IF(Z222=1,J222-ROW()/100000,"")</f>
        <v/>
      </c>
      <c r="AB222" s="20">
        <f>B222&amp;"|"&amp;K222</f>
        <v/>
      </c>
    </row>
    <row r="223" ht="78" customHeight="1">
      <c r="A223" s="9" t="inlineStr">
        <is>
          <t>PF35</t>
        </is>
      </c>
      <c r="B223" s="5" t="inlineStr">
        <is>
          <t>Parodi format</t>
        </is>
      </c>
      <c r="C223" s="11" t="inlineStr">
        <is>
          <t>Kartu koleksi</t>
        </is>
      </c>
      <c r="D223" s="5" t="inlineStr">
        <is>
          <t>Kartu bergambar dengan nama, kemampuan, dan angka kekuatan.</t>
        </is>
      </c>
      <c r="E223" s="22" t="inlineStr">
        <is>
          <t>Sudah</t>
        </is>
      </c>
      <c r="F223" s="9" t="inlineStr">
        <is>
          <t>PF35</t>
        </is>
      </c>
      <c r="G223" s="9" t="n">
        <v>2</v>
      </c>
      <c r="H223" s="9" t="n">
        <v>8</v>
      </c>
      <c r="I223" s="9" t="n">
        <v>7</v>
      </c>
      <c r="J223" s="26">
        <f>IF(E223="Tidak cocok","",ROUND(H223*W_GAYA_WOW+I223*W_GAYA_MEREK+(11-2*G223)*W_GAYA_MUDAH,1))</f>
        <v/>
      </c>
      <c r="K223" s="9">
        <f>IF(Z223=1,COUNTIFS($B$2:$B$254,B223,$AA$2:$AA$254,"&gt;"&amp;AA223)+1,"—")</f>
        <v/>
      </c>
      <c r="L223" s="9" t="n">
        <v>6</v>
      </c>
      <c r="M223" s="11" t="inlineStr">
        <is>
          <t>Kartu Modul</t>
        </is>
      </c>
      <c r="N223" s="9" t="inlineStr">
        <is>
          <t>Anomali</t>
        </is>
      </c>
      <c r="O223" s="5" t="inlineStr">
        <is>
          <t>“Kartu langka: DPIA. Kemampuan: menilai sebelum terlambat.”</t>
        </is>
      </c>
      <c r="P223" s="5" t="inlineStr">
        <is>
          <t>Kartu RoPA, DPIA, DSR dibuka → satu set lengkap → CTA</t>
        </is>
      </c>
      <c r="Q223" s="24" t="n">
        <v>0.6</v>
      </c>
      <c r="R223" s="27">
        <f>IF(Q223="","",1-Q223)</f>
        <v/>
      </c>
      <c r="S223" s="5">
        <f>IF(Q223="","—",TEXT(1-Q223,"0%")&amp;" edukasi · "&amp;TEXT(Q223,"0%")&amp;" meme")</f>
        <v/>
      </c>
      <c r="T223" s="5" t="inlineStr">
        <is>
          <t>Platform</t>
        </is>
      </c>
      <c r="U223" s="5" t="inlineStr">
        <is>
          <t>—</t>
        </is>
      </c>
      <c r="V223" s="9" t="inlineStr">
        <is>
          <t>15 dtk</t>
        </is>
      </c>
      <c r="W223" s="5" t="inlineStr">
        <is>
          <t>Baru</t>
        </is>
      </c>
      <c r="X223" s="5" t="inlineStr">
        <is>
          <t>Kartu flip; kilau; angka menghitung.</t>
        </is>
      </c>
      <c r="Y223" s="5" t="inlineStr">
        <is>
          <t>Desain kartu sendiri.</t>
        </is>
      </c>
      <c r="Z223" s="5">
        <f>IF(OR(E223="Bisa",E223="Berat"),1,0)</f>
        <v/>
      </c>
      <c r="AA223" s="5">
        <f>IF(Z223=1,J223-ROW()/100000,"")</f>
        <v/>
      </c>
      <c r="AB223" s="5">
        <f>B223&amp;"|"&amp;K223</f>
        <v/>
      </c>
    </row>
    <row r="224" ht="78" customHeight="1">
      <c r="A224" s="19" t="inlineStr">
        <is>
          <t>PF36</t>
        </is>
      </c>
      <c r="B224" s="20" t="inlineStr">
        <is>
          <t>Parodi format</t>
        </is>
      </c>
      <c r="C224" s="21" t="inlineStr">
        <is>
          <t>Peliharaan digital</t>
        </is>
      </c>
      <c r="D224" s="20" t="inlineStr">
        <is>
          <t>Layar kecil piksel dengan peliharaan yang harus dirawat.</t>
        </is>
      </c>
      <c r="E224" s="28" t="inlineStr">
        <is>
          <t>Bisa</t>
        </is>
      </c>
      <c r="F224" s="19" t="inlineStr"/>
      <c r="G224" s="19" t="n">
        <v>3</v>
      </c>
      <c r="H224" s="19" t="n">
        <v>9</v>
      </c>
      <c r="I224" s="19" t="n">
        <v>7</v>
      </c>
      <c r="J224" s="23">
        <f>IF(E224="Tidak cocok","",ROUND(H224*W_GAYA_WOW+I224*W_GAYA_MEREK+(11-2*G224)*W_GAYA_MUDAH,1))</f>
        <v/>
      </c>
      <c r="K224" s="19">
        <f>IF(Z224=1,COUNTIFS($B$2:$B$254,B224,$AA$2:$AA$254,"&gt;"&amp;AA224)+1,"—")</f>
        <v/>
      </c>
      <c r="L224" s="19" t="n">
        <v>6</v>
      </c>
      <c r="M224" s="21" t="inlineStr">
        <is>
          <t>Rawat RoPA-mu</t>
        </is>
      </c>
      <c r="N224" s="19" t="inlineStr">
        <is>
          <t>Relate</t>
        </is>
      </c>
      <c r="O224" s="20" t="inlineStr">
        <is>
          <t>“RoPA-mu lapar. Terakhir diperbarui 214 hari lalu.”</t>
        </is>
      </c>
      <c r="P224" s="20" t="inlineStr">
        <is>
          <t>Peliharaan lesu → diberi makan (diperbarui) → riwayat perubahan → CTA</t>
        </is>
      </c>
      <c r="Q224" s="24" t="n">
        <v>0.6</v>
      </c>
      <c r="R224" s="25">
        <f>IF(Q224="","",1-Q224)</f>
        <v/>
      </c>
      <c r="S224" s="20">
        <f>IF(Q224="","—",TEXT(1-Q224,"0%")&amp;" edukasi · "&amp;TEXT(Q224,"0%")&amp;" meme")</f>
        <v/>
      </c>
      <c r="T224" s="20" t="inlineStr">
        <is>
          <t>RoPA</t>
        </is>
      </c>
      <c r="U224" s="20" t="inlineStr">
        <is>
          <t>—</t>
        </is>
      </c>
      <c r="V224" s="19" t="inlineStr">
        <is>
          <t>15 dtk</t>
        </is>
      </c>
      <c r="W224" s="20" t="inlineStr">
        <is>
          <t>Baru</t>
        </is>
      </c>
      <c r="X224" s="20" t="inlineStr">
        <is>
          <t>Layar LCD semu; sprite piksel buatan sendiri; bilah lapar.</t>
        </is>
      </c>
      <c r="Y224" s="20" t="inlineStr">
        <is>
          <t>Desain sendiri; tanpa merek mainan. Angka = ilustrasi.</t>
        </is>
      </c>
      <c r="Z224" s="20">
        <f>IF(OR(E224="Bisa",E224="Berat"),1,0)</f>
        <v/>
      </c>
      <c r="AA224" s="20">
        <f>IF(Z224=1,J224-ROW()/100000,"")</f>
        <v/>
      </c>
      <c r="AB224" s="20">
        <f>B224&amp;"|"&amp;K224</f>
        <v/>
      </c>
    </row>
    <row r="225" ht="78" customHeight="1">
      <c r="A225" s="9" t="inlineStr">
        <is>
          <t>PF37</t>
        </is>
      </c>
      <c r="B225" s="5" t="inlineStr">
        <is>
          <t>Parodi format</t>
        </is>
      </c>
      <c r="C225" s="11" t="inlineStr">
        <is>
          <t>Ponsel jadul (SMS)</t>
        </is>
      </c>
      <c r="D225" s="5" t="inlineStr">
        <is>
          <t>Layar ponsel monokrom dengan pesan singkat.</t>
        </is>
      </c>
      <c r="E225" s="28" t="inlineStr">
        <is>
          <t>Bisa</t>
        </is>
      </c>
      <c r="F225" s="9" t="inlineStr"/>
      <c r="G225" s="9" t="n">
        <v>2</v>
      </c>
      <c r="H225" s="9" t="n">
        <v>7</v>
      </c>
      <c r="I225" s="9" t="n">
        <v>6</v>
      </c>
      <c r="J225" s="26">
        <f>IF(E225="Tidak cocok","",ROUND(H225*W_GAYA_WOW+I225*W_GAYA_MEREK+(11-2*G225)*W_GAYA_MUDAH,1))</f>
        <v/>
      </c>
      <c r="K225" s="9">
        <f>IF(Z225=1,COUNTIFS($B$2:$B$254,B225,$AA$2:$AA$254,"&gt;"&amp;AA225)+1,"—")</f>
        <v/>
      </c>
      <c r="L225" s="9" t="n">
        <v>6</v>
      </c>
      <c r="M225" s="11" t="inlineStr">
        <is>
          <t>1 Pesan Diterima</t>
        </is>
      </c>
      <c r="N225" s="9" t="inlineStr">
        <is>
          <t>Relate</t>
        </is>
      </c>
      <c r="O225" s="5" t="inlineStr">
        <is>
          <t>“1 pesan diterima: ‘Hapus data saya.’”</t>
        </is>
      </c>
      <c r="P225" s="5" t="inlineStr">
        <is>
          <t>SMS 2006 → email 2016 → formulir DSR 2026 → CTA</t>
        </is>
      </c>
      <c r="Q225" s="24" t="n">
        <v>0.8</v>
      </c>
      <c r="R225" s="27">
        <f>IF(Q225="","",1-Q225)</f>
        <v/>
      </c>
      <c r="S225" s="5">
        <f>IF(Q225="","—",TEXT(1-Q225,"0%")&amp;" edukasi · "&amp;TEXT(Q225,"0%")&amp;" meme")</f>
        <v/>
      </c>
      <c r="T225" s="5" t="inlineStr">
        <is>
          <t>DSR</t>
        </is>
      </c>
      <c r="U225" s="5" t="inlineStr">
        <is>
          <t>dsr-form</t>
        </is>
      </c>
      <c r="V225" s="9" t="inlineStr">
        <is>
          <t>15 dtk</t>
        </is>
      </c>
      <c r="W225" s="5" t="inlineStr">
        <is>
          <t>Baru</t>
        </is>
      </c>
      <c r="X225" s="5" t="inlineStr">
        <is>
          <t>Layar piksel hijau; teks mengetik; bunyi bip.</t>
        </is>
      </c>
      <c r="Y225" s="5" t="inlineStr">
        <is>
          <t>Ponsel fiktif.</t>
        </is>
      </c>
      <c r="Z225" s="5">
        <f>IF(OR(E225="Bisa",E225="Berat"),1,0)</f>
        <v/>
      </c>
      <c r="AA225" s="5">
        <f>IF(Z225=1,J225-ROW()/100000,"")</f>
        <v/>
      </c>
      <c r="AB225" s="5">
        <f>B225&amp;"|"&amp;K225</f>
        <v/>
      </c>
    </row>
    <row r="226" ht="78" customHeight="1">
      <c r="A226" s="19" t="inlineStr">
        <is>
          <t>PF38</t>
        </is>
      </c>
      <c r="B226" s="20" t="inlineStr">
        <is>
          <t>Parodi format</t>
        </is>
      </c>
      <c r="C226" s="21" t="inlineStr">
        <is>
          <t>Iklan baris</t>
        </is>
      </c>
      <c r="D226" s="20" t="inlineStr">
        <is>
          <t>Kolom iklan baris koran dengan teks rapat.</t>
        </is>
      </c>
      <c r="E226" s="28" t="inlineStr">
        <is>
          <t>Bisa</t>
        </is>
      </c>
      <c r="F226" s="19" t="inlineStr"/>
      <c r="G226" s="19" t="n">
        <v>1</v>
      </c>
      <c r="H226" s="19" t="n">
        <v>7</v>
      </c>
      <c r="I226" s="19" t="n">
        <v>6</v>
      </c>
      <c r="J226" s="23">
        <f>IF(E226="Tidak cocok","",ROUND(H226*W_GAYA_WOW+I226*W_GAYA_MEREK+(11-2*G226)*W_GAYA_MUDAH,1))</f>
        <v/>
      </c>
      <c r="K226" s="19">
        <f>IF(Z226=1,COUNTIFS($B$2:$B$254,B226,$AA$2:$AA$254,"&gt;"&amp;AA226)+1,"—")</f>
        <v/>
      </c>
      <c r="L226" s="19" t="n">
        <v>6</v>
      </c>
      <c r="M226" s="21" t="inlineStr">
        <is>
          <t>Dicari</t>
        </is>
      </c>
      <c r="N226" s="19" t="inlineStr">
        <is>
          <t>Relate</t>
        </is>
      </c>
      <c r="O226" s="20" t="inlineStr">
        <is>
          <t>“DICARI: orang yang paham isi spreadsheet ini.”</t>
        </is>
      </c>
      <c r="P226" s="20" t="inlineStr">
        <is>
          <t>Iklan baris lucu → “atau pindahkan ke register” → CTA</t>
        </is>
      </c>
      <c r="Q226" s="24" t="n">
        <v>0.8</v>
      </c>
      <c r="R226" s="25">
        <f>IF(Q226="","",1-Q226)</f>
        <v/>
      </c>
      <c r="S226" s="20">
        <f>IF(Q226="","—",TEXT(1-Q226,"0%")&amp;" edukasi · "&amp;TEXT(Q226,"0%")&amp;" meme")</f>
        <v/>
      </c>
      <c r="T226" s="20" t="inlineStr">
        <is>
          <t>RoPA</t>
        </is>
      </c>
      <c r="U226" s="20" t="inlineStr">
        <is>
          <t>—</t>
        </is>
      </c>
      <c r="V226" s="19" t="inlineStr">
        <is>
          <t>10 dtk</t>
        </is>
      </c>
      <c r="W226" s="20" t="inlineStr">
        <is>
          <t>M04 (varian)</t>
        </is>
      </c>
      <c r="X226" s="20" t="inlineStr">
        <is>
          <t>Kolom teks; satu iklan disorot &amp; membesar.</t>
        </is>
      </c>
      <c r="Y226" s="20" t="inlineStr"/>
      <c r="Z226" s="20">
        <f>IF(OR(E226="Bisa",E226="Berat"),1,0)</f>
        <v/>
      </c>
      <c r="AA226" s="20">
        <f>IF(Z226=1,J226-ROW()/100000,"")</f>
        <v/>
      </c>
      <c r="AB226" s="20">
        <f>B226&amp;"|"&amp;K226</f>
        <v/>
      </c>
    </row>
    <row r="227" ht="78" customHeight="1">
      <c r="A227" s="9" t="inlineStr">
        <is>
          <t>PF39</t>
        </is>
      </c>
      <c r="B227" s="5" t="inlineStr">
        <is>
          <t>Parodi format</t>
        </is>
      </c>
      <c r="C227" s="11" t="inlineStr">
        <is>
          <t>Petunjuk alat pemadam</t>
        </is>
      </c>
      <c r="D227" s="5" t="inlineStr">
        <is>
          <t>Stiker petunjuk pemakaian di dinding: tarik, arahkan, tekan.</t>
        </is>
      </c>
      <c r="E227" s="28" t="inlineStr">
        <is>
          <t>Bisa</t>
        </is>
      </c>
      <c r="F227" s="9" t="inlineStr"/>
      <c r="G227" s="9" t="n">
        <v>2</v>
      </c>
      <c r="H227" s="9" t="n">
        <v>8</v>
      </c>
      <c r="I227" s="9" t="n">
        <v>9</v>
      </c>
      <c r="J227" s="26">
        <f>IF(E227="Tidak cocok","",ROUND(H227*W_GAYA_WOW+I227*W_GAYA_MEREK+(11-2*G227)*W_GAYA_MUDAH,1))</f>
        <v/>
      </c>
      <c r="K227" s="9">
        <f>IF(Z227=1,COUNTIFS($B$2:$B$254,B227,$AA$2:$AA$254,"&gt;"&amp;AA227)+1,"—")</f>
        <v/>
      </c>
      <c r="L227" s="9" t="n">
        <v>6</v>
      </c>
      <c r="M227" s="11" t="inlineStr">
        <is>
          <t>Latihan yang Terlupa</t>
        </is>
      </c>
      <c r="N227" s="9" t="inlineStr">
        <is>
          <t>Logika dipatahkan</t>
        </is>
      </c>
      <c r="O227" s="5" t="inlineStr">
        <is>
          <t>“Kantor rutin latihan kebakaran. Latihan kebocoran data? …hening.”</t>
        </is>
      </c>
      <c r="P227" s="5" t="inlineStr">
        <is>
          <t>Petunjuk pemadam → petunjuk insiden data dengan gaya sama → Fire Drill → CTA</t>
        </is>
      </c>
      <c r="Q227" s="24" t="n">
        <v>0.3</v>
      </c>
      <c r="R227" s="27">
        <f>IF(Q227="","",1-Q227)</f>
        <v/>
      </c>
      <c r="S227" s="5">
        <f>IF(Q227="","—",TEXT(1-Q227,"0%")&amp;" edukasi · "&amp;TEXT(Q227,"0%")&amp;" meme")</f>
        <v/>
      </c>
      <c r="T227" s="5" t="inlineStr">
        <is>
          <t>Simulasi &amp; Fire Drill</t>
        </is>
      </c>
      <c r="U227" s="5" t="inlineStr">
        <is>
          <t>fire-drill-header</t>
        </is>
      </c>
      <c r="V227" s="9" t="inlineStr">
        <is>
          <t>15 dtk</t>
        </is>
      </c>
      <c r="W227" s="5" t="inlineStr">
        <is>
          <t>M12 / A30</t>
        </is>
      </c>
      <c r="X227" s="5" t="inlineStr">
        <is>
          <t>Panel ikon garis; nomor; panah.</t>
        </is>
      </c>
      <c r="Y227" s="5" t="inlineStr"/>
      <c r="Z227" s="5">
        <f>IF(OR(E227="Bisa",E227="Berat"),1,0)</f>
        <v/>
      </c>
      <c r="AA227" s="5">
        <f>IF(Z227=1,J227-ROW()/100000,"")</f>
        <v/>
      </c>
      <c r="AB227" s="5">
        <f>B227&amp;"|"&amp;K227</f>
        <v/>
      </c>
    </row>
    <row r="228" ht="78" customHeight="1">
      <c r="A228" s="19" t="inlineStr">
        <is>
          <t>SE01</t>
        </is>
      </c>
      <c r="B228" s="20" t="inlineStr">
        <is>
          <t>Struktur edit</t>
        </is>
      </c>
      <c r="C228" s="21" t="inlineStr">
        <is>
          <t>Split-screen</t>
        </is>
      </c>
      <c r="D228" s="20" t="inlineStr">
        <is>
          <t>Layar dibagi dua; dua cerita berjalan bersamaan.</t>
        </is>
      </c>
      <c r="E228" s="28" t="inlineStr">
        <is>
          <t>Bisa</t>
        </is>
      </c>
      <c r="F228" s="19" t="inlineStr"/>
      <c r="G228" s="19" t="n">
        <v>2</v>
      </c>
      <c r="H228" s="19" t="n">
        <v>7</v>
      </c>
      <c r="I228" s="19" t="n">
        <v>8</v>
      </c>
      <c r="J228" s="23">
        <f>IF(E228="Tidak cocok","",ROUND(H228*W_GAYA_WOW+I228*W_GAYA_MEREK+(11-2*G228)*W_GAYA_MUDAH,1))</f>
        <v/>
      </c>
      <c r="K228" s="19">
        <f>IF(Z228=1,COUNTIFS($B$2:$B$254,B228,$AA$2:$AA$254,"&gt;"&amp;AA228)+1,"—")</f>
        <v/>
      </c>
      <c r="L228" s="19" t="n">
        <v>7</v>
      </c>
      <c r="M228" s="21" t="inlineStr">
        <is>
          <t>DPO A vs DPO B</t>
        </is>
      </c>
      <c r="N228" s="19" t="inlineStr">
        <is>
          <t>Relate</t>
        </is>
      </c>
      <c r="O228" s="20" t="inlineStr">
        <is>
          <t>“Jam 3 pagi, insiden. DPO A vs DPO B.”</t>
        </is>
      </c>
      <c r="P228" s="20" t="inlineStr">
        <is>
          <t>Kiri panik, kanan tenang → bedanya alur siap → CTA</t>
        </is>
      </c>
      <c r="Q228" s="24" t="n">
        <v>0.3</v>
      </c>
      <c r="R228" s="25">
        <f>IF(Q228="","",1-Q228)</f>
        <v/>
      </c>
      <c r="S228" s="20">
        <f>IF(Q228="","—",TEXT(1-Q228,"0%")&amp;" edukasi · "&amp;TEXT(Q228,"0%")&amp;" meme")</f>
        <v/>
      </c>
      <c r="T228" s="20" t="inlineStr">
        <is>
          <t>Manajemen Insiden</t>
        </is>
      </c>
      <c r="U228" s="20" t="inlineStr">
        <is>
          <t>breach-detail</t>
        </is>
      </c>
      <c r="V228" s="19" t="inlineStr">
        <is>
          <t>20 dtk</t>
        </is>
      </c>
      <c r="W228" s="20" t="inlineStr">
        <is>
          <t>A44</t>
        </is>
      </c>
      <c r="X228" s="20" t="inlineStr">
        <is>
          <t>Dua wadah; waktu sama; garis pemisah bisa bergeser.</t>
        </is>
      </c>
      <c r="Y228" s="20" t="inlineStr">
        <is>
          <t>Digabung dengan SN02 (neon).</t>
        </is>
      </c>
      <c r="Z228" s="20">
        <f>IF(OR(E228="Bisa",E228="Berat"),1,0)</f>
        <v/>
      </c>
      <c r="AA228" s="20">
        <f>IF(Z228=1,J228-ROW()/100000,"")</f>
        <v/>
      </c>
      <c r="AB228" s="20">
        <f>B228&amp;"|"&amp;K228</f>
        <v/>
      </c>
    </row>
    <row r="229" ht="78" customHeight="1">
      <c r="A229" s="9" t="inlineStr">
        <is>
          <t>SE02</t>
        </is>
      </c>
      <c r="B229" s="5" t="inlineStr">
        <is>
          <t>Struktur edit</t>
        </is>
      </c>
      <c r="C229" s="11" t="inlineStr">
        <is>
          <t>POV</t>
        </is>
      </c>
      <c r="D229" s="5" t="inlineStr">
        <is>
          <t>Sudut pandang orang pertama; teks “POV:” di atas.</t>
        </is>
      </c>
      <c r="E229" s="28" t="inlineStr">
        <is>
          <t>Bisa</t>
        </is>
      </c>
      <c r="F229" s="9" t="inlineStr"/>
      <c r="G229" s="9" t="n">
        <v>1</v>
      </c>
      <c r="H229" s="9" t="n">
        <v>7</v>
      </c>
      <c r="I229" s="9" t="n">
        <v>7</v>
      </c>
      <c r="J229" s="26">
        <f>IF(E229="Tidak cocok","",ROUND(H229*W_GAYA_WOW+I229*W_GAYA_MEREK+(11-2*G229)*W_GAYA_MUDAH,1))</f>
        <v/>
      </c>
      <c r="K229" s="9">
        <f>IF(Z229=1,COUNTIFS($B$2:$B$254,B229,$AA$2:$AA$254,"&gt;"&amp;AA229)+1,"—")</f>
        <v/>
      </c>
      <c r="L229" s="9" t="n">
        <v>7</v>
      </c>
      <c r="M229" s="11" t="inlineStr">
        <is>
          <t>POV: Auditor Minta RoPA</t>
        </is>
      </c>
      <c r="N229" s="9" t="inlineStr">
        <is>
          <t>Relate</t>
        </is>
      </c>
      <c r="O229" s="5" t="inlineStr">
        <is>
          <t>“POV: auditor minta RoPA.”</t>
        </is>
      </c>
      <c r="P229" s="5" t="inlineStr">
        <is>
          <t>POV membuka file → gagal → register → CTA</t>
        </is>
      </c>
      <c r="Q229" s="24" t="n">
        <v>0.5</v>
      </c>
      <c r="R229" s="27">
        <f>IF(Q229="","",1-Q229)</f>
        <v/>
      </c>
      <c r="S229" s="5">
        <f>IF(Q229="","—",TEXT(1-Q229,"0%")&amp;" edukasi · "&amp;TEXT(Q229,"0%")&amp;" meme")</f>
        <v/>
      </c>
      <c r="T229" s="5" t="inlineStr">
        <is>
          <t>RoPA</t>
        </is>
      </c>
      <c r="U229" s="5" t="inlineStr">
        <is>
          <t>ropa-list-baru</t>
        </is>
      </c>
      <c r="V229" s="9" t="inlineStr">
        <is>
          <t>20 dtk</t>
        </is>
      </c>
      <c r="W229" s="5" t="inlineStr">
        <is>
          <t>A01</t>
        </is>
      </c>
      <c r="X229" s="5" t="inlineStr">
        <is>
          <t>Bingkai tangan/kursor; teks POV; guncangan kecil.</t>
        </is>
      </c>
      <c r="Y229" s="5" t="inlineStr">
        <is>
          <t>Digabung dengan UI05 (retro OS).</t>
        </is>
      </c>
      <c r="Z229" s="5">
        <f>IF(OR(E229="Bisa",E229="Berat"),1,0)</f>
        <v/>
      </c>
      <c r="AA229" s="5">
        <f>IF(Z229=1,J229-ROW()/100000,"")</f>
        <v/>
      </c>
      <c r="AB229" s="5">
        <f>B229&amp;"|"&amp;K229</f>
        <v/>
      </c>
    </row>
    <row r="230" ht="78" customHeight="1">
      <c r="A230" s="19" t="inlineStr">
        <is>
          <t>SE03</t>
        </is>
      </c>
      <c r="B230" s="20" t="inlineStr">
        <is>
          <t>Struktur edit</t>
        </is>
      </c>
      <c r="C230" s="21" t="inlineStr">
        <is>
          <t>Countdown / daftar bernomor</t>
        </is>
      </c>
      <c r="D230" s="20" t="inlineStr">
        <is>
          <t>Daftar 5 sampai 1 dengan angka besar.</t>
        </is>
      </c>
      <c r="E230" s="28" t="inlineStr">
        <is>
          <t>Bisa</t>
        </is>
      </c>
      <c r="F230" s="19" t="inlineStr"/>
      <c r="G230" s="19" t="n">
        <v>1</v>
      </c>
      <c r="H230" s="19" t="n">
        <v>6</v>
      </c>
      <c r="I230" s="19" t="n">
        <v>8</v>
      </c>
      <c r="J230" s="23">
        <f>IF(E230="Tidak cocok","",ROUND(H230*W_GAYA_WOW+I230*W_GAYA_MEREK+(11-2*G230)*W_GAYA_MUDAH,1))</f>
        <v/>
      </c>
      <c r="K230" s="19">
        <f>IF(Z230=1,COUNTIFS($B$2:$B$254,B230,$AA$2:$AA$254,"&gt;"&amp;AA230)+1,"—")</f>
        <v/>
      </c>
      <c r="L230" s="19" t="n">
        <v>7</v>
      </c>
      <c r="M230" s="21" t="inlineStr">
        <is>
          <t>5 Tanda Belum Siap PP 33</t>
        </is>
      </c>
      <c r="N230" s="19" t="inlineStr">
        <is>
          <t>Anomali</t>
        </is>
      </c>
      <c r="O230" s="20" t="inlineStr">
        <is>
          <t>“5 tanda perusahaanmu belum siap PP 33.”</t>
        </is>
      </c>
      <c r="P230" s="20" t="inlineStr">
        <is>
          <t>5 → 1 → GAP Assessment → CTA</t>
        </is>
      </c>
      <c r="Q230" s="24" t="n">
        <v>0.3</v>
      </c>
      <c r="R230" s="25">
        <f>IF(Q230="","",1-Q230)</f>
        <v/>
      </c>
      <c r="S230" s="20">
        <f>IF(Q230="","—",TEXT(1-Q230,"0%")&amp;" edukasi · "&amp;TEXT(Q230,"0%")&amp;" meme")</f>
        <v/>
      </c>
      <c r="T230" s="20" t="inlineStr">
        <is>
          <t>GAP, program siap PP 33</t>
        </is>
      </c>
      <c r="U230" s="20" t="inlineStr">
        <is>
          <t>gap-rekomendasi</t>
        </is>
      </c>
      <c r="V230" s="19" t="inlineStr">
        <is>
          <t>20 dtk</t>
        </is>
      </c>
      <c r="W230" s="20" t="inlineStr">
        <is>
          <t>A46</t>
        </is>
      </c>
      <c r="X230" s="20" t="inlineStr">
        <is>
          <t>Angka besar berganti; kartu isi; bilah progres.</t>
        </is>
      </c>
      <c r="Y230" s="20" t="inlineStr">
        <is>
          <t>Digabung dengan GB08 (halftone).</t>
        </is>
      </c>
      <c r="Z230" s="20">
        <f>IF(OR(E230="Bisa",E230="Berat"),1,0)</f>
        <v/>
      </c>
      <c r="AA230" s="20">
        <f>IF(Z230=1,J230-ROW()/100000,"")</f>
        <v/>
      </c>
      <c r="AB230" s="20">
        <f>B230&amp;"|"&amp;K230</f>
        <v/>
      </c>
    </row>
    <row r="231" ht="78" customHeight="1">
      <c r="A231" s="9" t="inlineStr">
        <is>
          <t>SE04</t>
        </is>
      </c>
      <c r="B231" s="5" t="inlineStr">
        <is>
          <t>Struktur edit</t>
        </is>
      </c>
      <c r="C231" s="11" t="inlineStr">
        <is>
          <t>Day in the life</t>
        </is>
      </c>
      <c r="D231" s="5" t="inlineStr">
        <is>
          <t>Sehari penuh dengan cap jam di tiap potongan.</t>
        </is>
      </c>
      <c r="E231" s="28" t="inlineStr">
        <is>
          <t>Bisa</t>
        </is>
      </c>
      <c r="F231" s="9" t="inlineStr"/>
      <c r="G231" s="9" t="n">
        <v>2</v>
      </c>
      <c r="H231" s="9" t="n">
        <v>7</v>
      </c>
      <c r="I231" s="9" t="n">
        <v>7</v>
      </c>
      <c r="J231" s="26">
        <f>IF(E231="Tidak cocok","",ROUND(H231*W_GAYA_WOW+I231*W_GAYA_MEREK+(11-2*G231)*W_GAYA_MUDAH,1))</f>
        <v/>
      </c>
      <c r="K231" s="9">
        <f>IF(Z231=1,COUNTIFS($B$2:$B$254,B231,$AA$2:$AA$254,"&gt;"&amp;AA231)+1,"—")</f>
        <v/>
      </c>
      <c r="L231" s="9" t="n">
        <v>7</v>
      </c>
      <c r="M231" s="11" t="inlineStr">
        <is>
          <t>Sehari Jadi DPO</t>
        </is>
      </c>
      <c r="N231" s="9" t="inlineStr">
        <is>
          <t>Relate</t>
        </is>
      </c>
      <c r="O231" s="5" t="inlineStr">
        <is>
          <t>“Day in the life of a DPO. Versi jujur.”</t>
        </is>
      </c>
      <c r="P231" s="5" t="inlineStr">
        <is>
          <t>08.00 → 13.00 → 17.00 → 03.00 → antrean kerja → CTA</t>
        </is>
      </c>
      <c r="Q231" s="24" t="n">
        <v>0.5</v>
      </c>
      <c r="R231" s="27">
        <f>IF(Q231="","",1-Q231)</f>
        <v/>
      </c>
      <c r="S231" s="5">
        <f>IF(Q231="","—",TEXT(1-Q231,"0%")&amp;" edukasi · "&amp;TEXT(Q231,"0%")&amp;" meme")</f>
        <v/>
      </c>
      <c r="T231" s="5" t="inlineStr">
        <is>
          <t>Dukungan PPDP</t>
        </is>
      </c>
      <c r="U231" s="5" t="inlineStr">
        <is>
          <t>dashboard</t>
        </is>
      </c>
      <c r="V231" s="9" t="inlineStr">
        <is>
          <t>30 dtk</t>
        </is>
      </c>
      <c r="W231" s="5" t="inlineStr">
        <is>
          <t>A21</t>
        </is>
      </c>
      <c r="X231" s="5" t="inlineStr">
        <is>
          <t>Cap jam besar; potongan pendek per jam.</t>
        </is>
      </c>
      <c r="Y231" s="5" t="inlineStr">
        <is>
          <t>Digabung dengan GB07 atau UI06.</t>
        </is>
      </c>
      <c r="Z231" s="5">
        <f>IF(OR(E231="Bisa",E231="Berat"),1,0)</f>
        <v/>
      </c>
      <c r="AA231" s="5">
        <f>IF(Z231=1,J231-ROW()/100000,"")</f>
        <v/>
      </c>
      <c r="AB231" s="5">
        <f>B231&amp;"|"&amp;K231</f>
        <v/>
      </c>
    </row>
    <row r="232" ht="78" customHeight="1">
      <c r="A232" s="19" t="inlineStr">
        <is>
          <t>SE05</t>
        </is>
      </c>
      <c r="B232" s="20" t="inlineStr">
        <is>
          <t>Struktur edit</t>
        </is>
      </c>
      <c r="C232" s="21" t="inlineStr">
        <is>
          <t>Ekspektasi vs realita</t>
        </is>
      </c>
      <c r="D232" s="20" t="inlineStr">
        <is>
          <t>Dua kartu berdampingan: bayangan vs kenyataan.</t>
        </is>
      </c>
      <c r="E232" s="28" t="inlineStr">
        <is>
          <t>Bisa</t>
        </is>
      </c>
      <c r="F232" s="19" t="inlineStr"/>
      <c r="G232" s="19" t="n">
        <v>1</v>
      </c>
      <c r="H232" s="19" t="n">
        <v>7</v>
      </c>
      <c r="I232" s="19" t="n">
        <v>7</v>
      </c>
      <c r="J232" s="23">
        <f>IF(E232="Tidak cocok","",ROUND(H232*W_GAYA_WOW+I232*W_GAYA_MEREK+(11-2*G232)*W_GAYA_MUDAH,1))</f>
        <v/>
      </c>
      <c r="K232" s="19">
        <f>IF(Z232=1,COUNTIFS($B$2:$B$254,B232,$AA$2:$AA$254,"&gt;"&amp;AA232)+1,"—")</f>
        <v/>
      </c>
      <c r="L232" s="19" t="n">
        <v>7</v>
      </c>
      <c r="M232" s="21" t="inlineStr">
        <is>
          <t>Ekspektasi vs Realita Jadi DPO</t>
        </is>
      </c>
      <c r="N232" s="19" t="inlineStr">
        <is>
          <t>Relate</t>
        </is>
      </c>
      <c r="O232" s="20" t="inlineStr">
        <is>
          <t>“Ekspektasi: membaca regulasi. Realita: mengejar orang isi form.”</t>
        </is>
      </c>
      <c r="P232" s="20" t="inlineStr">
        <is>
          <t>3 pasang ekspektasi–realita → alur RoPA dengan tautan isi untuk pihak ketiga → CTA</t>
        </is>
      </c>
      <c r="Q232" s="24" t="n">
        <v>0.5</v>
      </c>
      <c r="R232" s="25">
        <f>IF(Q232="","",1-Q232)</f>
        <v/>
      </c>
      <c r="S232" s="20">
        <f>IF(Q232="","—",TEXT(1-Q232,"0%")&amp;" edukasi · "&amp;TEXT(Q232,"0%")&amp;" meme")</f>
        <v/>
      </c>
      <c r="T232" s="20" t="inlineStr">
        <is>
          <t>RoPA</t>
        </is>
      </c>
      <c r="U232" s="20" t="inlineStr">
        <is>
          <t>ropa-baru</t>
        </is>
      </c>
      <c r="V232" s="19" t="inlineStr">
        <is>
          <t>15 dtk</t>
        </is>
      </c>
      <c r="W232" s="20" t="inlineStr">
        <is>
          <t>A14</t>
        </is>
      </c>
      <c r="X232" s="20" t="inlineStr">
        <is>
          <t>Kartu kiri rapi, kanan kacau; label.</t>
        </is>
      </c>
      <c r="Y232" s="20" t="inlineStr"/>
      <c r="Z232" s="20">
        <f>IF(OR(E232="Bisa",E232="Berat"),1,0)</f>
        <v/>
      </c>
      <c r="AA232" s="20">
        <f>IF(Z232=1,J232-ROW()/100000,"")</f>
        <v/>
      </c>
      <c r="AB232" s="20">
        <f>B232&amp;"|"&amp;K232</f>
        <v/>
      </c>
    </row>
    <row r="233" ht="78" customHeight="1">
      <c r="A233" s="9" t="inlineStr">
        <is>
          <t>SE06</t>
        </is>
      </c>
      <c r="B233" s="5" t="inlineStr">
        <is>
          <t>Struktur edit</t>
        </is>
      </c>
      <c r="C233" s="11" t="inlineStr">
        <is>
          <t>Loop sempurna</t>
        </is>
      </c>
      <c r="D233" s="5" t="inlineStr">
        <is>
          <t>Akhir video tersambung mulus ke awal.</t>
        </is>
      </c>
      <c r="E233" s="28" t="inlineStr">
        <is>
          <t>Bisa</t>
        </is>
      </c>
      <c r="F233" s="9" t="inlineStr"/>
      <c r="G233" s="9" t="n">
        <v>2</v>
      </c>
      <c r="H233" s="9" t="n">
        <v>8</v>
      </c>
      <c r="I233" s="9" t="n">
        <v>7</v>
      </c>
      <c r="J233" s="26">
        <f>IF(E233="Tidak cocok","",ROUND(H233*W_GAYA_WOW+I233*W_GAYA_MEREK+(11-2*G233)*W_GAYA_MUDAH,1))</f>
        <v/>
      </c>
      <c r="K233" s="9">
        <f>IF(Z233=1,COUNTIFS($B$2:$B$254,B233,$AA$2:$AA$254,"&gt;"&amp;AA233)+1,"—")</f>
        <v/>
      </c>
      <c r="L233" s="9" t="n">
        <v>7</v>
      </c>
      <c r="M233" s="11" t="inlineStr">
        <is>
          <t>Revisi Tanpa Akhir</t>
        </is>
      </c>
      <c r="N233" s="9" t="inlineStr">
        <is>
          <t>Relate</t>
        </is>
      </c>
      <c r="O233" s="5" t="inlineStr">
        <is>
          <t>“Video ini tidak punya akhir. Seperti revisi RoPA-mu.”</t>
        </is>
      </c>
      <c r="P233" s="5" t="inlineStr">
        <is>
          <t>final → final_v2 → final_FIX → (kembali ke awal) · keluar dari loop: register → CTA di caption</t>
        </is>
      </c>
      <c r="Q233" s="24" t="n">
        <v>0.5</v>
      </c>
      <c r="R233" s="27">
        <f>IF(Q233="","",1-Q233)</f>
        <v/>
      </c>
      <c r="S233" s="5">
        <f>IF(Q233="","—",TEXT(1-Q233,"0%")&amp;" edukasi · "&amp;TEXT(Q233,"0%")&amp;" meme")</f>
        <v/>
      </c>
      <c r="T233" s="5" t="inlineStr">
        <is>
          <t>RoPA</t>
        </is>
      </c>
      <c r="U233" s="5" t="inlineStr">
        <is>
          <t>—</t>
        </is>
      </c>
      <c r="V233" s="9" t="inlineStr">
        <is>
          <t>10 dtk</t>
        </is>
      </c>
      <c r="W233" s="5" t="inlineStr">
        <is>
          <t>Baru</t>
        </is>
      </c>
      <c r="X233" s="5" t="inlineStr">
        <is>
          <t>Bingkai terakhir = bingkai pertama; teks menyambung.</t>
        </is>
      </c>
      <c r="Y233" s="5" t="inlineStr">
        <is>
          <t>CTA ditaruh di tengah/caption karena video berulang.</t>
        </is>
      </c>
      <c r="Z233" s="5">
        <f>IF(OR(E233="Bisa",E233="Berat"),1,0)</f>
        <v/>
      </c>
      <c r="AA233" s="5">
        <f>IF(Z233=1,J233-ROW()/100000,"")</f>
        <v/>
      </c>
      <c r="AB233" s="5">
        <f>B233&amp;"|"&amp;K233</f>
        <v/>
      </c>
    </row>
    <row r="234" ht="78" customHeight="1">
      <c r="A234" s="19" t="inlineStr">
        <is>
          <t>SE07</t>
        </is>
      </c>
      <c r="B234" s="20" t="inlineStr">
        <is>
          <t>Struktur edit</t>
        </is>
      </c>
      <c r="C234" s="21" t="inlineStr">
        <is>
          <t>Infinite zoom</t>
        </is>
      </c>
      <c r="D234" s="20" t="inlineStr">
        <is>
          <t>Kamera terus masuk ke detail, membuka adegan baru di dalamnya.</t>
        </is>
      </c>
      <c r="E234" s="28" t="inlineStr">
        <is>
          <t>Bisa</t>
        </is>
      </c>
      <c r="F234" s="19" t="inlineStr"/>
      <c r="G234" s="19" t="n">
        <v>3</v>
      </c>
      <c r="H234" s="19" t="n">
        <v>9</v>
      </c>
      <c r="I234" s="19" t="n">
        <v>8</v>
      </c>
      <c r="J234" s="23">
        <f>IF(E234="Tidak cocok","",ROUND(H234*W_GAYA_WOW+I234*W_GAYA_MEREK+(11-2*G234)*W_GAYA_MUDAH,1))</f>
        <v/>
      </c>
      <c r="K234" s="19">
        <f>IF(Z234=1,COUNTIFS($B$2:$B$254,B234,$AA$2:$AA$254,"&gt;"&amp;AA234)+1,"—")</f>
        <v/>
      </c>
      <c r="L234" s="19" t="n">
        <v>7</v>
      </c>
      <c r="M234" s="21" t="inlineStr">
        <is>
          <t>Dari Formulir ke Dasbor</t>
        </is>
      </c>
      <c r="N234" s="19" t="inlineStr">
        <is>
          <t>Anomali</t>
        </is>
      </c>
      <c r="O234" s="20" t="inlineStr">
        <is>
          <t>“Masuk ke kotak centang ini.”</t>
        </is>
      </c>
      <c r="P234" s="20" t="inlineStr">
        <is>
          <t>Kotak centang → log persetujuan → RoPA → DPIA → dasbor → CTA</t>
        </is>
      </c>
      <c r="Q234" s="24" t="n">
        <v>0.3</v>
      </c>
      <c r="R234" s="25">
        <f>IF(Q234="","",1-Q234)</f>
        <v/>
      </c>
      <c r="S234" s="20">
        <f>IF(Q234="","—",TEXT(1-Q234,"0%")&amp;" edukasi · "&amp;TEXT(Q234,"0%")&amp;" meme")</f>
        <v/>
      </c>
      <c r="T234" s="20" t="inlineStr">
        <is>
          <t>Platform</t>
        </is>
      </c>
      <c r="U234" s="20" t="inlineStr">
        <is>
          <t>consent-detail, ropa-tersimpan, dashboard</t>
        </is>
      </c>
      <c r="V234" s="19" t="inlineStr">
        <is>
          <t>20 dtk</t>
        </is>
      </c>
      <c r="W234" s="20" t="inlineStr">
        <is>
          <t>Flow unggulan (versi 30 dtk)</t>
        </is>
      </c>
      <c r="X234" s="20" t="inlineStr">
        <is>
          <t>Skala eksponensial bertingkat antar adegan.</t>
        </is>
      </c>
      <c r="Y234" s="20" t="inlineStr"/>
      <c r="Z234" s="20">
        <f>IF(OR(E234="Bisa",E234="Berat"),1,0)</f>
        <v/>
      </c>
      <c r="AA234" s="20">
        <f>IF(Z234=1,J234-ROW()/100000,"")</f>
        <v/>
      </c>
      <c r="AB234" s="20">
        <f>B234&amp;"|"&amp;K234</f>
        <v/>
      </c>
    </row>
    <row r="235" ht="78" customHeight="1">
      <c r="A235" s="9" t="inlineStr">
        <is>
          <t>SE08</t>
        </is>
      </c>
      <c r="B235" s="5" t="inlineStr">
        <is>
          <t>Struktur edit</t>
        </is>
      </c>
      <c r="C235" s="11" t="inlineStr">
        <is>
          <t>Sebelum/sesudah (geser)</t>
        </is>
      </c>
      <c r="D235" s="5" t="inlineStr">
        <is>
          <t>Garis pemisah digeser memperlihatkan sebelum dan sesudah.</t>
        </is>
      </c>
      <c r="E235" s="28" t="inlineStr">
        <is>
          <t>Bisa</t>
        </is>
      </c>
      <c r="F235" s="9" t="inlineStr"/>
      <c r="G235" s="9" t="n">
        <v>1</v>
      </c>
      <c r="H235" s="9" t="n">
        <v>7</v>
      </c>
      <c r="I235" s="9" t="n">
        <v>9</v>
      </c>
      <c r="J235" s="26">
        <f>IF(E235="Tidak cocok","",ROUND(H235*W_GAYA_WOW+I235*W_GAYA_MEREK+(11-2*G235)*W_GAYA_MUDAH,1))</f>
        <v/>
      </c>
      <c r="K235" s="9">
        <f>IF(Z235=1,COUNTIFS($B$2:$B$254,B235,$AA$2:$AA$254,"&gt;"&amp;AA235)+1,"—")</f>
        <v/>
      </c>
      <c r="L235" s="9" t="n">
        <v>7</v>
      </c>
      <c r="M235" s="11" t="inlineStr">
        <is>
          <t>Geser</t>
        </is>
      </c>
      <c r="N235" s="9" t="inlineStr">
        <is>
          <t>Anomali</t>
        </is>
      </c>
      <c r="O235" s="5" t="inlineStr">
        <is>
          <t>“Geser ke kanan.”</t>
        </is>
      </c>
      <c r="P235" s="5" t="inlineStr">
        <is>
          <t>Kiri: spreadsheet 14 tab · kanan: register RoPA → CTA</t>
        </is>
      </c>
      <c r="Q235" s="24" t="n">
        <v>0.2</v>
      </c>
      <c r="R235" s="27">
        <f>IF(Q235="","",1-Q235)</f>
        <v/>
      </c>
      <c r="S235" s="5">
        <f>IF(Q235="","—",TEXT(1-Q235,"0%")&amp;" edukasi · "&amp;TEXT(Q235,"0%")&amp;" meme")</f>
        <v/>
      </c>
      <c r="T235" s="5" t="inlineStr">
        <is>
          <t>RoPA</t>
        </is>
      </c>
      <c r="U235" s="5" t="inlineStr">
        <is>
          <t>ropa-list-baru</t>
        </is>
      </c>
      <c r="V235" s="9" t="inlineStr">
        <is>
          <t>10 dtk</t>
        </is>
      </c>
      <c r="W235" s="5" t="inlineStr">
        <is>
          <t>M04</t>
        </is>
      </c>
      <c r="X235" s="5" t="inlineStr">
        <is>
          <t>Dua lapis dengan clip-path; pegangan geser.</t>
        </is>
      </c>
      <c r="Y235" s="5" t="inlineStr"/>
      <c r="Z235" s="5">
        <f>IF(OR(E235="Bisa",E235="Berat"),1,0)</f>
        <v/>
      </c>
      <c r="AA235" s="5">
        <f>IF(Z235=1,J235-ROW()/100000,"")</f>
        <v/>
      </c>
      <c r="AB235" s="5">
        <f>B235&amp;"|"&amp;K235</f>
        <v/>
      </c>
    </row>
    <row r="236" ht="78" customHeight="1">
      <c r="A236" s="19" t="inlineStr">
        <is>
          <t>SE09</t>
        </is>
      </c>
      <c r="B236" s="20" t="inlineStr">
        <is>
          <t>Struktur edit</t>
        </is>
      </c>
      <c r="C236" s="21" t="inlineStr">
        <is>
          <t>Satu tarikan kamera (one-take)</t>
        </is>
      </c>
      <c r="D236" s="20" t="inlineStr">
        <is>
          <t>Kamera bergerak menerus tanpa potongan melewati semua adegan.</t>
        </is>
      </c>
      <c r="E236" s="28" t="inlineStr">
        <is>
          <t>Bisa</t>
        </is>
      </c>
      <c r="F236" s="19" t="inlineStr"/>
      <c r="G236" s="19" t="n">
        <v>3</v>
      </c>
      <c r="H236" s="19" t="n">
        <v>8</v>
      </c>
      <c r="I236" s="19" t="n">
        <v>9</v>
      </c>
      <c r="J236" s="23">
        <f>IF(E236="Tidak cocok","",ROUND(H236*W_GAYA_WOW+I236*W_GAYA_MEREK+(11-2*G236)*W_GAYA_MUDAH,1))</f>
        <v/>
      </c>
      <c r="K236" s="19">
        <f>IF(Z236=1,COUNTIFS($B$2:$B$254,B236,$AA$2:$AA$254,"&gt;"&amp;AA236)+1,"—")</f>
        <v/>
      </c>
      <c r="L236" s="19" t="n">
        <v>7</v>
      </c>
      <c r="M236" s="21" t="inlineStr">
        <is>
          <t>Satu Tarikan Napas</t>
        </is>
      </c>
      <c r="N236" s="19" t="inlineStr">
        <is>
          <t>Anomali</t>
        </is>
      </c>
      <c r="O236" s="20" t="inlineStr">
        <is>
          <t>“Satu tarikan napas, semua modul.”</t>
        </is>
      </c>
      <c r="P236" s="20" t="inlineStr">
        <is>
          <t>Kamera melewati GAP → RoPA → DPIA → DSR → Insiden → CTA</t>
        </is>
      </c>
      <c r="Q236" s="24" t="n">
        <v>0.2</v>
      </c>
      <c r="R236" s="25">
        <f>IF(Q236="","",1-Q236)</f>
        <v/>
      </c>
      <c r="S236" s="20">
        <f>IF(Q236="","—",TEXT(1-Q236,"0%")&amp;" edukasi · "&amp;TEXT(Q236,"0%")&amp;" meme")</f>
        <v/>
      </c>
      <c r="T236" s="20" t="inlineStr">
        <is>
          <t>Platform</t>
        </is>
      </c>
      <c r="U236" s="20" t="inlineStr">
        <is>
          <t>gap-hasil, ropa-list-baru, dpia-risiko, dsr-detail, breach-detail</t>
        </is>
      </c>
      <c r="V236" s="19" t="inlineStr">
        <is>
          <t>25 dtk</t>
        </is>
      </c>
      <c r="W236" s="20" t="inlineStr">
        <is>
          <t>Flow unggulan (versi 30 dtk)</t>
        </is>
      </c>
      <c r="X236" s="20" t="inlineStr">
        <is>
          <t>Satu kanvas panjang; kamera translate/rotate halus.</t>
        </is>
      </c>
      <c r="Y236" s="20" t="inlineStr"/>
      <c r="Z236" s="20">
        <f>IF(OR(E236="Bisa",E236="Berat"),1,0)</f>
        <v/>
      </c>
      <c r="AA236" s="20">
        <f>IF(Z236=1,J236-ROW()/100000,"")</f>
        <v/>
      </c>
      <c r="AB236" s="20">
        <f>B236&amp;"|"&amp;K236</f>
        <v/>
      </c>
    </row>
    <row r="237" ht="78" customHeight="1">
      <c r="A237" s="9" t="inlineStr">
        <is>
          <t>SE10</t>
        </is>
      </c>
      <c r="B237" s="5" t="inlineStr">
        <is>
          <t>Struktur edit</t>
        </is>
      </c>
      <c r="C237" s="11" t="inlineStr">
        <is>
          <t>Putar balik (rewind)</t>
        </is>
      </c>
      <c r="D237" s="5" t="inlineStr">
        <is>
          <t>Cerita dimulai dari akhir lalu diputar mundur.</t>
        </is>
      </c>
      <c r="E237" s="28" t="inlineStr">
        <is>
          <t>Bisa</t>
        </is>
      </c>
      <c r="F237" s="9" t="inlineStr"/>
      <c r="G237" s="9" t="n">
        <v>2</v>
      </c>
      <c r="H237" s="9" t="n">
        <v>8</v>
      </c>
      <c r="I237" s="9" t="n">
        <v>8</v>
      </c>
      <c r="J237" s="26">
        <f>IF(E237="Tidak cocok","",ROUND(H237*W_GAYA_WOW+I237*W_GAYA_MEREK+(11-2*G237)*W_GAYA_MUDAH,1))</f>
        <v/>
      </c>
      <c r="K237" s="9">
        <f>IF(Z237=1,COUNTIFS($B$2:$B$254,B237,$AA$2:$AA$254,"&gt;"&amp;AA237)+1,"—")</f>
        <v/>
      </c>
      <c r="L237" s="9" t="n">
        <v>7</v>
      </c>
      <c r="M237" s="11" t="inlineStr">
        <is>
          <t>Putar Balik</t>
        </is>
      </c>
      <c r="N237" s="9" t="inlineStr">
        <is>
          <t>Anomali</t>
        </is>
      </c>
      <c r="O237" s="5" t="inlineStr">
        <is>
          <t>“Kita putar balik: 3×24 jam sebelum berita ini terbit.”</t>
        </is>
      </c>
      <c r="P237" s="5" t="inlineStr">
        <is>
          <t>Akhir: berita → mundur → titik keputusan: latihan &amp; alur siap → CTA</t>
        </is>
      </c>
      <c r="Q237" s="24" t="n">
        <v>0.3</v>
      </c>
      <c r="R237" s="27">
        <f>IF(Q237="","",1-Q237)</f>
        <v/>
      </c>
      <c r="S237" s="5">
        <f>IF(Q237="","—",TEXT(1-Q237,"0%")&amp;" edukasi · "&amp;TEXT(Q237,"0%")&amp;" meme")</f>
        <v/>
      </c>
      <c r="T237" s="5" t="inlineStr">
        <is>
          <t>Insiden, Fire Drill</t>
        </is>
      </c>
      <c r="U237" s="5" t="inlineStr">
        <is>
          <t>breach-detail</t>
        </is>
      </c>
      <c r="V237" s="9" t="inlineStr">
        <is>
          <t>20 dtk</t>
        </is>
      </c>
      <c r="W237" s="5" t="inlineStr">
        <is>
          <t>Baru</t>
        </is>
      </c>
      <c r="X237" s="5" t="inlineStr">
        <is>
          <t>Waktu cerita dibalik; efek pita mundur; SFX rewind.</t>
        </is>
      </c>
      <c r="Y237" s="5" t="inlineStr"/>
      <c r="Z237" s="5">
        <f>IF(OR(E237="Bisa",E237="Berat"),1,0)</f>
        <v/>
      </c>
      <c r="AA237" s="5">
        <f>IF(Z237=1,J237-ROW()/100000,"")</f>
        <v/>
      </c>
      <c r="AB237" s="5">
        <f>B237&amp;"|"&amp;K237</f>
        <v/>
      </c>
    </row>
    <row r="238" ht="78" customHeight="1">
      <c r="A238" s="19" t="inlineStr">
        <is>
          <t>SE11</t>
        </is>
      </c>
      <c r="B238" s="20" t="inlineStr">
        <is>
          <t>Struktur edit</t>
        </is>
      </c>
      <c r="C238" s="21" t="inlineStr">
        <is>
          <t>Match cut (bentuk sama)</t>
        </is>
      </c>
      <c r="D238" s="20" t="inlineStr">
        <is>
          <t>Potongan antar adegan lewat bentuk yang sama.</t>
        </is>
      </c>
      <c r="E238" s="28" t="inlineStr">
        <is>
          <t>Bisa</t>
        </is>
      </c>
      <c r="F238" s="19" t="inlineStr"/>
      <c r="G238" s="19" t="n">
        <v>3</v>
      </c>
      <c r="H238" s="19" t="n">
        <v>8</v>
      </c>
      <c r="I238" s="19" t="n">
        <v>8</v>
      </c>
      <c r="J238" s="23">
        <f>IF(E238="Tidak cocok","",ROUND(H238*W_GAYA_WOW+I238*W_GAYA_MEREK+(11-2*G238)*W_GAYA_MUDAH,1))</f>
        <v/>
      </c>
      <c r="K238" s="19">
        <f>IF(Z238=1,COUNTIFS($B$2:$B$254,B238,$AA$2:$AA$254,"&gt;"&amp;AA238)+1,"—")</f>
        <v/>
      </c>
      <c r="L238" s="19" t="n">
        <v>7</v>
      </c>
      <c r="M238" s="21" t="inlineStr">
        <is>
          <t>Bentuk yang Sama</t>
        </is>
      </c>
      <c r="N238" s="19" t="inlineStr">
        <is>
          <t>Anomali</t>
        </is>
      </c>
      <c r="O238" s="20" t="inlineStr">
        <is>
          <t>“Lingkaran ini: tombol Setuju.”</t>
        </is>
      </c>
      <c r="P238" s="20" t="inlineStr">
        <is>
          <t>Lingkaran = tombol → jam tenggat → skor → logo → CTA</t>
        </is>
      </c>
      <c r="Q238" s="24" t="n">
        <v>0.3</v>
      </c>
      <c r="R238" s="25">
        <f>IF(Q238="","",1-Q238)</f>
        <v/>
      </c>
      <c r="S238" s="20">
        <f>IF(Q238="","—",TEXT(1-Q238,"0%")&amp;" edukasi · "&amp;TEXT(Q238,"0%")&amp;" meme")</f>
        <v/>
      </c>
      <c r="T238" s="20" t="inlineStr">
        <is>
          <t>Platform</t>
        </is>
      </c>
      <c r="U238" s="20" t="inlineStr">
        <is>
          <t>—</t>
        </is>
      </c>
      <c r="V238" s="19" t="inlineStr">
        <is>
          <t>15 dtk</t>
        </is>
      </c>
      <c r="W238" s="20" t="inlineStr">
        <is>
          <t>Baru</t>
        </is>
      </c>
      <c r="X238" s="20" t="inlineStr">
        <is>
          <t>Bentuk kunci (lingkaran/kotak) dipertahankan posisi &amp; ukurannya.</t>
        </is>
      </c>
      <c r="Y238" s="20" t="inlineStr"/>
      <c r="Z238" s="20">
        <f>IF(OR(E238="Bisa",E238="Berat"),1,0)</f>
        <v/>
      </c>
      <c r="AA238" s="20">
        <f>IF(Z238=1,J238-ROW()/100000,"")</f>
        <v/>
      </c>
      <c r="AB238" s="20">
        <f>B238&amp;"|"&amp;K238</f>
        <v/>
      </c>
    </row>
    <row r="239" ht="78" customHeight="1">
      <c r="A239" s="9" t="inlineStr">
        <is>
          <t>SE12</t>
        </is>
      </c>
      <c r="B239" s="5" t="inlineStr">
        <is>
          <t>Struktur edit</t>
        </is>
      </c>
      <c r="C239" s="11" t="inlineStr">
        <is>
          <t>Freeze frame + narator</t>
        </is>
      </c>
      <c r="D239" s="5" t="inlineStr">
        <is>
          <t>Adegan membeku; narator menjelaskan “itu aku”.</t>
        </is>
      </c>
      <c r="E239" s="22" t="inlineStr">
        <is>
          <t>Sudah</t>
        </is>
      </c>
      <c r="F239" s="9" t="inlineStr">
        <is>
          <t>N11</t>
        </is>
      </c>
      <c r="G239" s="9" t="n">
        <v>2</v>
      </c>
      <c r="H239" s="9" t="n">
        <v>8</v>
      </c>
      <c r="I239" s="9" t="n">
        <v>7</v>
      </c>
      <c r="J239" s="26">
        <f>IF(E239="Tidak cocok","",ROUND(H239*W_GAYA_WOW+I239*W_GAYA_MEREK+(11-2*G239)*W_GAYA_MUDAH,1))</f>
        <v/>
      </c>
      <c r="K239" s="9">
        <f>IF(Z239=1,COUNTIFS($B$2:$B$254,B239,$AA$2:$AA$254,"&gt;"&amp;AA239)+1,"—")</f>
        <v/>
      </c>
      <c r="L239" s="9" t="n">
        <v>7</v>
      </c>
      <c r="M239" s="11" t="inlineStr">
        <is>
          <t>Hidup DPO (pembuka)</t>
        </is>
      </c>
      <c r="N239" s="9" t="inlineStr">
        <is>
          <t>Relate</t>
        </is>
      </c>
      <c r="O239" s="5" t="inlineStr">
        <is>
          <t>“Yep, itu aku.”</t>
        </is>
      </c>
      <c r="P239" s="5" t="inlineStr">
        <is>
          <t>Freeze → putar balik → cerita</t>
        </is>
      </c>
      <c r="Q239" s="24" t="n">
        <v>0.8</v>
      </c>
      <c r="R239" s="27">
        <f>IF(Q239="","",1-Q239)</f>
        <v/>
      </c>
      <c r="S239" s="5">
        <f>IF(Q239="","—",TEXT(1-Q239,"0%")&amp;" edukasi · "&amp;TEXT(Q239,"0%")&amp;" meme")</f>
        <v/>
      </c>
      <c r="T239" s="5" t="inlineStr">
        <is>
          <t>Brand</t>
        </is>
      </c>
      <c r="U239" s="5" t="inlineStr">
        <is>
          <t>—</t>
        </is>
      </c>
      <c r="V239" s="9" t="inlineStr">
        <is>
          <t>5 dtk</t>
        </is>
      </c>
      <c r="W239" s="5" t="inlineStr">
        <is>
          <t>N11 (sudah dirender)</t>
        </is>
      </c>
      <c r="X239" s="5" t="inlineStr">
        <is>
          <t>Bingkai beku hitam-putih; lingkaran spidol; SFX scratch.</t>
        </is>
      </c>
      <c r="Y239" s="5" t="inlineStr"/>
      <c r="Z239" s="5">
        <f>IF(OR(E239="Bisa",E239="Berat"),1,0)</f>
        <v/>
      </c>
      <c r="AA239" s="5">
        <f>IF(Z239=1,J239-ROW()/100000,"")</f>
        <v/>
      </c>
      <c r="AB239" s="5">
        <f>B239&amp;"|"&amp;K239</f>
        <v/>
      </c>
    </row>
    <row r="240" ht="78" customHeight="1">
      <c r="A240" s="19" t="inlineStr">
        <is>
          <t>SE13</t>
        </is>
      </c>
      <c r="B240" s="20" t="inlineStr">
        <is>
          <t>Struktur edit</t>
        </is>
      </c>
      <c r="C240" s="21" t="inlineStr">
        <is>
          <t>Callback (akhir kembali ke hook)</t>
        </is>
      </c>
      <c r="D240" s="20" t="inlineStr">
        <is>
          <t>Kalimat penutup mengulang hook dengan makna baru.</t>
        </is>
      </c>
      <c r="E240" s="22" t="inlineStr">
        <is>
          <t>Sudah</t>
        </is>
      </c>
      <c r="F240" s="19" t="inlineStr">
        <is>
          <t>T01</t>
        </is>
      </c>
      <c r="G240" s="19" t="n">
        <v>1</v>
      </c>
      <c r="H240" s="19" t="n">
        <v>7</v>
      </c>
      <c r="I240" s="19" t="n">
        <v>8</v>
      </c>
      <c r="J240" s="23">
        <f>IF(E240="Tidak cocok","",ROUND(H240*W_GAYA_WOW+I240*W_GAYA_MEREK+(11-2*G240)*W_GAYA_MUDAH,1))</f>
        <v/>
      </c>
      <c r="K240" s="19">
        <f>IF(Z240=1,COUNTIFS($B$2:$B$254,B240,$AA$2:$AA$254,"&gt;"&amp;AA240)+1,"—")</f>
        <v/>
      </c>
      <c r="L240" s="19" t="n">
        <v>7</v>
      </c>
      <c r="M240" s="21" t="inlineStr">
        <is>
          <t>Satu Platform (penutup)</t>
        </is>
      </c>
      <c r="N240" s="19" t="inlineStr">
        <is>
          <t>Anomali</t>
        </is>
      </c>
      <c r="O240" s="20" t="inlineStr">
        <is>
          <t>“…atau masih 12 spreadsheet?”</t>
        </is>
      </c>
      <c r="P240" s="20" t="inlineStr">
        <is>
          <t>Hook → isi → hook diulang → CTA</t>
        </is>
      </c>
      <c r="Q240" s="24" t="n">
        <v>0.2</v>
      </c>
      <c r="R240" s="25">
        <f>IF(Q240="","",1-Q240)</f>
        <v/>
      </c>
      <c r="S240" s="20">
        <f>IF(Q240="","—",TEXT(1-Q240,"0%")&amp;" edukasi · "&amp;TEXT(Q240,"0%")&amp;" meme")</f>
        <v/>
      </c>
      <c r="T240" s="20" t="inlineStr">
        <is>
          <t>Platform</t>
        </is>
      </c>
      <c r="U240" s="20" t="inlineStr">
        <is>
          <t>—</t>
        </is>
      </c>
      <c r="V240" s="19" t="inlineStr">
        <is>
          <t>—</t>
        </is>
      </c>
      <c r="W240" s="20" t="inlineStr">
        <is>
          <t>T01 (sudah dirender)</t>
        </is>
      </c>
      <c r="X240" s="20" t="inlineStr">
        <is>
          <t>Teks hook muncul lagi sebelum CTA.</t>
        </is>
      </c>
      <c r="Y240" s="20" t="inlineStr"/>
      <c r="Z240" s="20">
        <f>IF(OR(E240="Bisa",E240="Berat"),1,0)</f>
        <v/>
      </c>
      <c r="AA240" s="20">
        <f>IF(Z240=1,J240-ROW()/100000,"")</f>
        <v/>
      </c>
      <c r="AB240" s="20">
        <f>B240&amp;"|"&amp;K240</f>
        <v/>
      </c>
    </row>
    <row r="241" ht="78" customHeight="1">
      <c r="A241" s="9" t="inlineStr">
        <is>
          <t>SE14</t>
        </is>
      </c>
      <c r="B241" s="5" t="inlineStr">
        <is>
          <t>Struktur edit</t>
        </is>
      </c>
      <c r="C241" s="11" t="inlineStr">
        <is>
          <t>Mitos vs fakta</t>
        </is>
      </c>
      <c r="D241" s="5" t="inlineStr">
        <is>
          <t>Kartu MITOS dicap FAKTA bergantian.</t>
        </is>
      </c>
      <c r="E241" s="28" t="inlineStr">
        <is>
          <t>Bisa</t>
        </is>
      </c>
      <c r="F241" s="9" t="inlineStr"/>
      <c r="G241" s="9" t="n">
        <v>1</v>
      </c>
      <c r="H241" s="9" t="n">
        <v>6</v>
      </c>
      <c r="I241" s="9" t="n">
        <v>9</v>
      </c>
      <c r="J241" s="26">
        <f>IF(E241="Tidak cocok","",ROUND(H241*W_GAYA_WOW+I241*W_GAYA_MEREK+(11-2*G241)*W_GAYA_MUDAH,1))</f>
        <v/>
      </c>
      <c r="K241" s="9">
        <f>IF(Z241=1,COUNTIFS($B$2:$B$254,B241,$AA$2:$AA$254,"&gt;"&amp;AA241)+1,"—")</f>
        <v/>
      </c>
      <c r="L241" s="9" t="n">
        <v>7</v>
      </c>
      <c r="M241" s="11" t="inlineStr">
        <is>
          <t>Mitos: Ini Urusan IT</t>
        </is>
      </c>
      <c r="N241" s="9" t="inlineStr">
        <is>
          <t>Logika dipatahkan</t>
        </is>
      </c>
      <c r="O241" s="5" t="inlineStr">
        <is>
          <t>“Mitos: pelindungan data pribadi itu urusan tim IT saja.”</t>
        </is>
      </c>
      <c r="P241" s="5" t="inlineStr">
        <is>
          <t>3 mitos → fakta singkat → modul terkait → CTA</t>
        </is>
      </c>
      <c r="Q241" s="24" t="n">
        <v>0.2</v>
      </c>
      <c r="R241" s="27">
        <f>IF(Q241="","",1-Q241)</f>
        <v/>
      </c>
      <c r="S241" s="5">
        <f>IF(Q241="","—",TEXT(1-Q241,"0%")&amp;" edukasi · "&amp;TEXT(Q241,"0%")&amp;" meme")</f>
        <v/>
      </c>
      <c r="T241" s="5" t="inlineStr">
        <is>
          <t>Platform</t>
        </is>
      </c>
      <c r="U241" s="5" t="inlineStr">
        <is>
          <t>—</t>
        </is>
      </c>
      <c r="V241" s="9" t="inlineStr">
        <is>
          <t>20 dtk</t>
        </is>
      </c>
      <c r="W241" s="5" t="inlineStr">
        <is>
          <t>Baru</t>
        </is>
      </c>
      <c r="X241" s="5" t="inlineStr">
        <is>
          <t>Kartu flip; cap; warna merah/hijau.</t>
        </is>
      </c>
      <c r="Y241" s="5" t="inlineStr">
        <is>
          <t>Tiap fakta wajib punya dasar pasal.</t>
        </is>
      </c>
      <c r="Z241" s="5">
        <f>IF(OR(E241="Bisa",E241="Berat"),1,0)</f>
        <v/>
      </c>
      <c r="AA241" s="5">
        <f>IF(Z241=1,J241-ROW()/100000,"")</f>
        <v/>
      </c>
      <c r="AB241" s="5">
        <f>B241&amp;"|"&amp;K241</f>
        <v/>
      </c>
    </row>
    <row r="242" ht="78" customHeight="1">
      <c r="A242" s="19" t="inlineStr">
        <is>
          <t>SE15</t>
        </is>
      </c>
      <c r="B242" s="20" t="inlineStr">
        <is>
          <t>Struktur edit</t>
        </is>
      </c>
      <c r="C242" s="21" t="inlineStr">
        <is>
          <t>Ini atau itu</t>
        </is>
      </c>
      <c r="D242" s="20" t="inlineStr">
        <is>
          <t>Dua pilihan; penonton diminta memilih di komentar.</t>
        </is>
      </c>
      <c r="E242" s="28" t="inlineStr">
        <is>
          <t>Bisa</t>
        </is>
      </c>
      <c r="F242" s="19" t="inlineStr"/>
      <c r="G242" s="19" t="n">
        <v>1</v>
      </c>
      <c r="H242" s="19" t="n">
        <v>7</v>
      </c>
      <c r="I242" s="19" t="n">
        <v>7</v>
      </c>
      <c r="J242" s="23">
        <f>IF(E242="Tidak cocok","",ROUND(H242*W_GAYA_WOW+I242*W_GAYA_MEREK+(11-2*G242)*W_GAYA_MUDAH,1))</f>
        <v/>
      </c>
      <c r="K242" s="19">
        <f>IF(Z242=1,COUNTIFS($B$2:$B$254,B242,$AA$2:$AA$254,"&gt;"&amp;AA242)+1,"—")</f>
        <v/>
      </c>
      <c r="L242" s="19" t="n">
        <v>7</v>
      </c>
      <c r="M242" s="21" t="inlineStr">
        <is>
          <t>Pilih Satu</t>
        </is>
      </c>
      <c r="N242" s="19" t="inlineStr">
        <is>
          <t>Relate</t>
        </is>
      </c>
      <c r="O242" s="20" t="inlineStr">
        <is>
          <t>“Pilih satu: audit mendadak atau 200 permohonan hapus data?”</t>
        </is>
      </c>
      <c r="P242" s="20" t="inlineStr">
        <is>
          <t>Pilihan → “atau siap untuk keduanya” → CTA</t>
        </is>
      </c>
      <c r="Q242" s="24" t="n">
        <v>0.5</v>
      </c>
      <c r="R242" s="25">
        <f>IF(Q242="","",1-Q242)</f>
        <v/>
      </c>
      <c r="S242" s="20">
        <f>IF(Q242="","—",TEXT(1-Q242,"0%")&amp;" edukasi · "&amp;TEXT(Q242,"0%")&amp;" meme")</f>
        <v/>
      </c>
      <c r="T242" s="20" t="inlineStr">
        <is>
          <t>Platform</t>
        </is>
      </c>
      <c r="U242" s="20" t="inlineStr">
        <is>
          <t>—</t>
        </is>
      </c>
      <c r="V242" s="19" t="inlineStr">
        <is>
          <t>10 dtk</t>
        </is>
      </c>
      <c r="W242" s="20" t="inlineStr">
        <is>
          <t>Baru</t>
        </is>
      </c>
      <c r="X242" s="20" t="inlineStr">
        <is>
          <t>Dua kartu; bilah suara; hitung mundur.</t>
        </is>
      </c>
      <c r="Y242" s="20" t="inlineStr">
        <is>
          <t>Untuk interaksi organik.</t>
        </is>
      </c>
      <c r="Z242" s="20">
        <f>IF(OR(E242="Bisa",E242="Berat"),1,0)</f>
        <v/>
      </c>
      <c r="AA242" s="20">
        <f>IF(Z242=1,J242-ROW()/100000,"")</f>
        <v/>
      </c>
      <c r="AB242" s="20">
        <f>B242&amp;"|"&amp;K242</f>
        <v/>
      </c>
    </row>
    <row r="243" ht="78" customHeight="1">
      <c r="A243" s="9" t="inlineStr">
        <is>
          <t>SE16</t>
        </is>
      </c>
      <c r="B243" s="5" t="inlineStr">
        <is>
          <t>Struktur edit</t>
        </is>
      </c>
      <c r="C243" s="11" t="inlineStr">
        <is>
          <t>Kuis jeda</t>
        </is>
      </c>
      <c r="D243" s="5" t="inlineStr">
        <is>
          <t>Pertanyaan muncul; penonton diminta menjeda video.</t>
        </is>
      </c>
      <c r="E243" s="28" t="inlineStr">
        <is>
          <t>Bisa</t>
        </is>
      </c>
      <c r="F243" s="9" t="inlineStr"/>
      <c r="G243" s="9" t="n">
        <v>1</v>
      </c>
      <c r="H243" s="9" t="n">
        <v>7</v>
      </c>
      <c r="I243" s="9" t="n">
        <v>7</v>
      </c>
      <c r="J243" s="26">
        <f>IF(E243="Tidak cocok","",ROUND(H243*W_GAYA_WOW+I243*W_GAYA_MEREK+(11-2*G243)*W_GAYA_MUDAH,1))</f>
        <v/>
      </c>
      <c r="K243" s="9">
        <f>IF(Z243=1,COUNTIFS($B$2:$B$254,B243,$AA$2:$AA$254,"&gt;"&amp;AA243)+1,"—")</f>
        <v/>
      </c>
      <c r="L243" s="9" t="n">
        <v>7</v>
      </c>
      <c r="M243" s="11" t="inlineStr">
        <is>
          <t>Jeda Video Ini</t>
        </is>
      </c>
      <c r="N243" s="9" t="inlineStr">
        <is>
          <t>Reverse psychology</t>
        </is>
      </c>
      <c r="O243" s="5" t="inlineStr">
        <is>
          <t>“Jangan jeda video ini… kecuali kamu tahu jawabannya.”</t>
        </is>
      </c>
      <c r="P243" s="5" t="inlineStr">
        <is>
          <t>Pertanyaan: “berapa jam tenggat DSR di Nexus?” → jawaban 72 jam → CTA</t>
        </is>
      </c>
      <c r="Q243" s="24" t="n">
        <v>0.5</v>
      </c>
      <c r="R243" s="27">
        <f>IF(Q243="","",1-Q243)</f>
        <v/>
      </c>
      <c r="S243" s="5">
        <f>IF(Q243="","—",TEXT(1-Q243,"0%")&amp;" edukasi · "&amp;TEXT(Q243,"0%")&amp;" meme")</f>
        <v/>
      </c>
      <c r="T243" s="5" t="inlineStr">
        <is>
          <t>DSR</t>
        </is>
      </c>
      <c r="U243" s="5" t="inlineStr">
        <is>
          <t>dsr-detail</t>
        </is>
      </c>
      <c r="V243" s="9" t="inlineStr">
        <is>
          <t>10 dtk</t>
        </is>
      </c>
      <c r="W243" s="5" t="inlineStr">
        <is>
          <t>Baru</t>
        </is>
      </c>
      <c r="X243" s="5" t="inlineStr">
        <is>
          <t>Timer; tombol jeda besar; jawaban terbuka.</t>
        </is>
      </c>
      <c r="Y243" s="5" t="inlineStr"/>
      <c r="Z243" s="5">
        <f>IF(OR(E243="Bisa",E243="Berat"),1,0)</f>
        <v/>
      </c>
      <c r="AA243" s="5">
        <f>IF(Z243=1,J243-ROW()/100000,"")</f>
        <v/>
      </c>
      <c r="AB243" s="5">
        <f>B243&amp;"|"&amp;K243</f>
        <v/>
      </c>
    </row>
    <row r="244" ht="78" customHeight="1">
      <c r="A244" s="19" t="inlineStr">
        <is>
          <t>SE17</t>
        </is>
      </c>
      <c r="B244" s="20" t="inlineStr">
        <is>
          <t>Struktur edit</t>
        </is>
      </c>
      <c r="C244" s="21" t="inlineStr">
        <is>
          <t>Time-lapse</t>
        </is>
      </c>
      <c r="D244" s="20" t="inlineStr">
        <is>
          <t>Waktu dipercepat; hari berganti dalam hitungan detik.</t>
        </is>
      </c>
      <c r="E244" s="28" t="inlineStr">
        <is>
          <t>Bisa</t>
        </is>
      </c>
      <c r="F244" s="19" t="inlineStr"/>
      <c r="G244" s="19" t="n">
        <v>2</v>
      </c>
      <c r="H244" s="19" t="n">
        <v>7</v>
      </c>
      <c r="I244" s="19" t="n">
        <v>8</v>
      </c>
      <c r="J244" s="23">
        <f>IF(E244="Tidak cocok","",ROUND(H244*W_GAYA_WOW+I244*W_GAYA_MEREK+(11-2*G244)*W_GAYA_MUDAH,1))</f>
        <v/>
      </c>
      <c r="K244" s="19">
        <f>IF(Z244=1,COUNTIFS($B$2:$B$254,B244,$AA$2:$AA$254,"&gt;"&amp;AA244)+1,"—")</f>
        <v/>
      </c>
      <c r="L244" s="19" t="n">
        <v>7</v>
      </c>
      <c r="M244" s="21" t="inlineStr">
        <is>
          <t>Setahun dalam 15 Detik</t>
        </is>
      </c>
      <c r="N244" s="19" t="inlineStr">
        <is>
          <t>Anomali</t>
        </is>
      </c>
      <c r="O244" s="20" t="inlineStr">
        <is>
          <t>“Setahun kepatuhan dalam 15 detik.”</t>
        </is>
      </c>
      <c r="P244" s="20" t="inlineStr">
        <is>
          <t>Tren bulanan tumbuh → skor naik → CTA</t>
        </is>
      </c>
      <c r="Q244" s="24" t="n">
        <v>0.3</v>
      </c>
      <c r="R244" s="25">
        <f>IF(Q244="","",1-Q244)</f>
        <v/>
      </c>
      <c r="S244" s="20">
        <f>IF(Q244="","—",TEXT(1-Q244,"0%")&amp;" edukasi · "&amp;TEXT(Q244,"0%")&amp;" meme")</f>
        <v/>
      </c>
      <c r="T244" s="20" t="inlineStr">
        <is>
          <t>Dasbor (tren)</t>
        </is>
      </c>
      <c r="U244" s="20" t="inlineStr">
        <is>
          <t>dashboard-postur</t>
        </is>
      </c>
      <c r="V244" s="19" t="inlineStr">
        <is>
          <t>15 dtk</t>
        </is>
      </c>
      <c r="W244" s="20" t="inlineStr">
        <is>
          <t>Baru</t>
        </is>
      </c>
      <c r="X244" s="20" t="inlineStr">
        <is>
          <t>Penanda tanggal berjalan; grafik tumbuh.</t>
        </is>
      </c>
      <c r="Y244" s="20" t="inlineStr">
        <is>
          <t>Angka dari data demo di screenshot.</t>
        </is>
      </c>
      <c r="Z244" s="20">
        <f>IF(OR(E244="Bisa",E244="Berat"),1,0)</f>
        <v/>
      </c>
      <c r="AA244" s="20">
        <f>IF(Z244=1,J244-ROW()/100000,"")</f>
        <v/>
      </c>
      <c r="AB244" s="20">
        <f>B244&amp;"|"&amp;K244</f>
        <v/>
      </c>
    </row>
    <row r="245" ht="78" customHeight="1">
      <c r="A245" s="9" t="inlineStr">
        <is>
          <t>SE18</t>
        </is>
      </c>
      <c r="B245" s="5" t="inlineStr">
        <is>
          <t>Struktur edit</t>
        </is>
      </c>
      <c r="C245" s="11" t="inlineStr">
        <is>
          <t>Zoom-out reveal</t>
        </is>
      </c>
      <c r="D245" s="5" t="inlineStr">
        <is>
          <t>Mulai dari detail kecil, mundur memperlihatkan gambar besar.</t>
        </is>
      </c>
      <c r="E245" s="28" t="inlineStr">
        <is>
          <t>Bisa</t>
        </is>
      </c>
      <c r="F245" s="9" t="inlineStr"/>
      <c r="G245" s="9" t="n">
        <v>2</v>
      </c>
      <c r="H245" s="9" t="n">
        <v>8</v>
      </c>
      <c r="I245" s="9" t="n">
        <v>9</v>
      </c>
      <c r="J245" s="26">
        <f>IF(E245="Tidak cocok","",ROUND(H245*W_GAYA_WOW+I245*W_GAYA_MEREK+(11-2*G245)*W_GAYA_MUDAH,1))</f>
        <v/>
      </c>
      <c r="K245" s="9">
        <f>IF(Z245=1,COUNTIFS($B$2:$B$254,B245,$AA$2:$AA$254,"&gt;"&amp;AA245)+1,"—")</f>
        <v/>
      </c>
      <c r="L245" s="9" t="n">
        <v>7</v>
      </c>
      <c r="M245" s="11" t="inlineStr">
        <is>
          <t>Mundur Selangkah</t>
        </is>
      </c>
      <c r="N245" s="9" t="inlineStr">
        <is>
          <t>Anomali</t>
        </is>
      </c>
      <c r="O245" s="5" t="inlineStr">
        <is>
          <t>“Ini satu baris data. Mundur selangkah.”</t>
        </is>
      </c>
      <c r="P245" s="5" t="inlineStr">
        <is>
          <t>Satu baris → satu sistem → semua sistem → katalog → CTA</t>
        </is>
      </c>
      <c r="Q245" s="24" t="n">
        <v>0.2</v>
      </c>
      <c r="R245" s="27">
        <f>IF(Q245="","",1-Q245)</f>
        <v/>
      </c>
      <c r="S245" s="5">
        <f>IF(Q245="","—",TEXT(1-Q245,"0%")&amp;" edukasi · "&amp;TEXT(Q245,"0%")&amp;" meme")</f>
        <v/>
      </c>
      <c r="T245" s="5" t="inlineStr">
        <is>
          <t>Data Discovery</t>
        </is>
      </c>
      <c r="U245" s="5" t="inlineStr">
        <is>
          <t>—</t>
        </is>
      </c>
      <c r="V245" s="9" t="inlineStr">
        <is>
          <t>15 dtk</t>
        </is>
      </c>
      <c r="W245" s="5" t="inlineStr">
        <is>
          <t>Baru</t>
        </is>
      </c>
      <c r="X245" s="5" t="inlineStr">
        <is>
          <t>Skala mengecil bertahap; elemen baru masuk bingkai.</t>
        </is>
      </c>
      <c r="Y245" s="5" t="inlineStr"/>
      <c r="Z245" s="5">
        <f>IF(OR(E245="Bisa",E245="Berat"),1,0)</f>
        <v/>
      </c>
      <c r="AA245" s="5">
        <f>IF(Z245=1,J245-ROW()/100000,"")</f>
        <v/>
      </c>
      <c r="AB245" s="5">
        <f>B245&amp;"|"&amp;K245</f>
        <v/>
      </c>
    </row>
    <row r="246" ht="78" customHeight="1">
      <c r="A246" s="19" t="inlineStr">
        <is>
          <t>SE19</t>
        </is>
      </c>
      <c r="B246" s="20" t="inlineStr">
        <is>
          <t>Struktur edit</t>
        </is>
      </c>
      <c r="C246" s="21" t="inlineStr">
        <is>
          <t>Speedrun (pakai timer)</t>
        </is>
      </c>
      <c r="D246" s="20" t="inlineStr">
        <is>
          <t>Stopwatch berjalan sementara tugas diselesaikan.</t>
        </is>
      </c>
      <c r="E246" s="34" t="inlineStr">
        <is>
          <t>Berat</t>
        </is>
      </c>
      <c r="F246" s="19" t="inlineStr"/>
      <c r="G246" s="19" t="n">
        <v>3</v>
      </c>
      <c r="H246" s="19" t="n">
        <v>8</v>
      </c>
      <c r="I246" s="19" t="n">
        <v>8</v>
      </c>
      <c r="J246" s="23">
        <f>IF(E246="Tidak cocok","",ROUND(H246*W_GAYA_WOW+I246*W_GAYA_MEREK+(11-2*G246)*W_GAYA_MUDAH,1))</f>
        <v/>
      </c>
      <c r="K246" s="19">
        <f>IF(Z246=1,COUNTIFS($B$2:$B$254,B246,$AA$2:$AA$254,"&gt;"&amp;AA246)+1,"—")</f>
        <v/>
      </c>
      <c r="L246" s="19" t="n">
        <v>7</v>
      </c>
      <c r="M246" s="21" t="inlineStr">
        <is>
          <t>#RoPA60Detik</t>
        </is>
      </c>
      <c r="N246" s="19" t="inlineStr">
        <is>
          <t>Reverse psychology</t>
        </is>
      </c>
      <c r="O246" s="20" t="inlineStr">
        <is>
          <t>“Bisa isi 1 RoPA dalam 60 detik?”</t>
        </is>
      </c>
      <c r="P246" s="20" t="inlineStr">
        <is>
          <t>Timer → pengisian berbantuan AI → selesai → CTA</t>
        </is>
      </c>
      <c r="Q246" s="24" t="n">
        <v>0.3</v>
      </c>
      <c r="R246" s="25">
        <f>IF(Q246="","",1-Q246)</f>
        <v/>
      </c>
      <c r="S246" s="20">
        <f>IF(Q246="","—",TEXT(1-Q246,"0%")&amp;" edukasi · "&amp;TEXT(Q246,"0%")&amp;" meme")</f>
        <v/>
      </c>
      <c r="T246" s="20" t="inlineStr">
        <is>
          <t>RoPA (isi otomatis berbantuan AI)</t>
        </is>
      </c>
      <c r="U246" s="20" t="inlineStr">
        <is>
          <t>ropa-baru</t>
        </is>
      </c>
      <c r="V246" s="19" t="inlineStr">
        <is>
          <t>60 dtk</t>
        </is>
      </c>
      <c r="W246" s="20" t="inlineStr">
        <is>
          <t>A48</t>
        </is>
      </c>
      <c r="X246" s="20" t="inlineStr">
        <is>
          <t>Butuh rekaman layar asli + bukti klaim waktu.</t>
        </is>
      </c>
      <c r="Y246" s="20" t="inlineStr">
        <is>
          <t>Klaim waktu harus dibuktikan dengan rekaman layar nyata.</t>
        </is>
      </c>
      <c r="Z246" s="20">
        <f>IF(OR(E246="Bisa",E246="Berat"),1,0)</f>
        <v/>
      </c>
      <c r="AA246" s="20">
        <f>IF(Z246=1,J246-ROW()/100000,"")</f>
        <v/>
      </c>
      <c r="AB246" s="20">
        <f>B246&amp;"|"&amp;K246</f>
        <v/>
      </c>
    </row>
    <row r="247" ht="78" customHeight="1">
      <c r="A247" s="9" t="inlineStr">
        <is>
          <t>SE20</t>
        </is>
      </c>
      <c r="B247" s="5" t="inlineStr">
        <is>
          <t>Struktur edit</t>
        </is>
      </c>
      <c r="C247" s="11" t="inlineStr">
        <is>
          <t>Tutorial 3 langkah</t>
        </is>
      </c>
      <c r="D247" s="5" t="inlineStr">
        <is>
          <t>Tiga langkah bernomor, masing-masing satu layar.</t>
        </is>
      </c>
      <c r="E247" s="28" t="inlineStr">
        <is>
          <t>Bisa</t>
        </is>
      </c>
      <c r="F247" s="9" t="inlineStr"/>
      <c r="G247" s="9" t="n">
        <v>1</v>
      </c>
      <c r="H247" s="9" t="n">
        <v>5</v>
      </c>
      <c r="I247" s="9" t="n">
        <v>10</v>
      </c>
      <c r="J247" s="26">
        <f>IF(E247="Tidak cocok","",ROUND(H247*W_GAYA_WOW+I247*W_GAYA_MEREK+(11-2*G247)*W_GAYA_MUDAH,1))</f>
        <v/>
      </c>
      <c r="K247" s="9">
        <f>IF(Z247=1,COUNTIFS($B$2:$B$254,B247,$AA$2:$AA$254,"&gt;"&amp;AA247)+1,"—")</f>
        <v/>
      </c>
      <c r="L247" s="9" t="n">
        <v>7</v>
      </c>
      <c r="M247" s="11" t="inlineStr">
        <is>
          <t>Tiga Langkah Pre Check</t>
        </is>
      </c>
      <c r="N247" s="9" t="inlineStr">
        <is>
          <t>Relate</t>
        </is>
      </c>
      <c r="O247" s="5" t="inlineStr">
        <is>
          <t>“Tiga langkah untuk tahu posisi kepatuhanmu.”</t>
        </is>
      </c>
      <c r="P247" s="5" t="inlineStr">
        <is>
          <t>1 mulai asesmen → 2 jawab → 3 lihat skor &amp; rekomendasi → CTA</t>
        </is>
      </c>
      <c r="Q247" s="24" t="n">
        <v>0</v>
      </c>
      <c r="R247" s="27">
        <f>IF(Q247="","",1-Q247)</f>
        <v/>
      </c>
      <c r="S247" s="5">
        <f>IF(Q247="","—",TEXT(1-Q247,"0%")&amp;" edukasi · "&amp;TEXT(Q247,"0%")&amp;" meme")</f>
        <v/>
      </c>
      <c r="T247" s="5" t="inlineStr">
        <is>
          <t>GAP Assessment</t>
        </is>
      </c>
      <c r="U247" s="5" t="inlineStr">
        <is>
          <t>gap-mulai, gap-hasil, gap-rekomendasi</t>
        </is>
      </c>
      <c r="V247" s="9" t="inlineStr">
        <is>
          <t>20 dtk</t>
        </is>
      </c>
      <c r="W247" s="5" t="inlineStr">
        <is>
          <t>Baru</t>
        </is>
      </c>
      <c r="X247" s="5" t="inlineStr">
        <is>
          <t>Angka besar; screenshot; centang.</t>
        </is>
      </c>
      <c r="Y247" s="5" t="inlineStr"/>
      <c r="Z247" s="5">
        <f>IF(OR(E247="Bisa",E247="Berat"),1,0)</f>
        <v/>
      </c>
      <c r="AA247" s="5">
        <f>IF(Z247=1,J247-ROW()/100000,"")</f>
        <v/>
      </c>
      <c r="AB247" s="5">
        <f>B247&amp;"|"&amp;K247</f>
        <v/>
      </c>
    </row>
    <row r="248" ht="78" customHeight="1">
      <c r="A248" s="19" t="inlineStr">
        <is>
          <t>SE21</t>
        </is>
      </c>
      <c r="B248" s="20" t="inlineStr">
        <is>
          <t>Struktur edit</t>
        </is>
      </c>
      <c r="C248" s="21" t="inlineStr">
        <is>
          <t>Dialog dua suara</t>
        </is>
      </c>
      <c r="D248" s="20" t="inlineStr">
        <is>
          <t>Dua suara bergantian; teks tiap suara di sisi berbeda.</t>
        </is>
      </c>
      <c r="E248" s="28" t="inlineStr">
        <is>
          <t>Bisa</t>
        </is>
      </c>
      <c r="F248" s="19" t="inlineStr"/>
      <c r="G248" s="19" t="n">
        <v>1</v>
      </c>
      <c r="H248" s="19" t="n">
        <v>7</v>
      </c>
      <c r="I248" s="19" t="n">
        <v>8</v>
      </c>
      <c r="J248" s="23">
        <f>IF(E248="Tidak cocok","",ROUND(H248*W_GAYA_WOW+I248*W_GAYA_MEREK+(11-2*G248)*W_GAYA_MUDAH,1))</f>
        <v/>
      </c>
      <c r="K248" s="19">
        <f>IF(Z248=1,COUNTIFS($B$2:$B$254,B248,$AA$2:$AA$254,"&gt;"&amp;AA248)+1,"—")</f>
        <v/>
      </c>
      <c r="L248" s="19" t="n">
        <v>7</v>
      </c>
      <c r="M248" s="21" t="inlineStr">
        <is>
          <t>Di Cloud</t>
        </is>
      </c>
      <c r="N248" s="19" t="inlineStr">
        <is>
          <t>Logika dipatahkan</t>
        </is>
      </c>
      <c r="O248" s="20" t="inlineStr">
        <is>
          <t>“‘Datanya di mana?’ ‘Di cloud.’ ‘Cloud-nya di negara mana?’”</t>
        </is>
      </c>
      <c r="P248" s="20" t="inlineStr">
        <is>
          <t>Tanya-jawab → hening → register transfer → CTA</t>
        </is>
      </c>
      <c r="Q248" s="24" t="n">
        <v>0.3</v>
      </c>
      <c r="R248" s="25">
        <f>IF(Q248="","",1-Q248)</f>
        <v/>
      </c>
      <c r="S248" s="20">
        <f>IF(Q248="","—",TEXT(1-Q248,"0%")&amp;" edukasi · "&amp;TEXT(Q248,"0%")&amp;" meme")</f>
        <v/>
      </c>
      <c r="T248" s="20" t="inlineStr">
        <is>
          <t>Transfer Data Lintas Negara</t>
        </is>
      </c>
      <c r="U248" s="20" t="inlineStr">
        <is>
          <t>—</t>
        </is>
      </c>
      <c r="V248" s="19" t="inlineStr">
        <is>
          <t>15 dtk</t>
        </is>
      </c>
      <c r="W248" s="20" t="inlineStr">
        <is>
          <t>M14 / A34</t>
        </is>
      </c>
      <c r="X248" s="20" t="inlineStr">
        <is>
          <t>Dua suara TTS/VN; teks kiri-kanan; jeda komedi.</t>
        </is>
      </c>
      <c r="Y248" s="20" t="inlineStr"/>
      <c r="Z248" s="20">
        <f>IF(OR(E248="Bisa",E248="Berat"),1,0)</f>
        <v/>
      </c>
      <c r="AA248" s="20">
        <f>IF(Z248=1,J248-ROW()/100000,"")</f>
        <v/>
      </c>
      <c r="AB248" s="20">
        <f>B248&amp;"|"&amp;K248</f>
        <v/>
      </c>
    </row>
    <row r="249" ht="78" customHeight="1">
      <c r="A249" s="9" t="inlineStr">
        <is>
          <t>SE22</t>
        </is>
      </c>
      <c r="B249" s="5" t="inlineStr">
        <is>
          <t>Struktur edit</t>
        </is>
      </c>
      <c r="C249" s="11" t="inlineStr">
        <is>
          <t>Tenggat nyata dipadatkan</t>
        </is>
      </c>
      <c r="D249" s="5" t="inlineStr">
        <is>
          <t>Waktu 72 jam dipadatkan; jam berputar cepat.</t>
        </is>
      </c>
      <c r="E249" s="28" t="inlineStr">
        <is>
          <t>Bisa</t>
        </is>
      </c>
      <c r="F249" s="9" t="inlineStr"/>
      <c r="G249" s="9" t="n">
        <v>2</v>
      </c>
      <c r="H249" s="9" t="n">
        <v>8</v>
      </c>
      <c r="I249" s="9" t="n">
        <v>8</v>
      </c>
      <c r="J249" s="26">
        <f>IF(E249="Tidak cocok","",ROUND(H249*W_GAYA_WOW+I249*W_GAYA_MEREK+(11-2*G249)*W_GAYA_MUDAH,1))</f>
        <v/>
      </c>
      <c r="K249" s="9">
        <f>IF(Z249=1,COUNTIFS($B$2:$B$254,B249,$AA$2:$AA$254,"&gt;"&amp;AA249)+1,"—")</f>
        <v/>
      </c>
      <c r="L249" s="9" t="n">
        <v>7</v>
      </c>
      <c r="M249" s="11" t="inlineStr">
        <is>
          <t>72 Jam dalam 30 Detik</t>
        </is>
      </c>
      <c r="N249" s="9" t="inlineStr">
        <is>
          <t>Anomali</t>
        </is>
      </c>
      <c r="O249" s="5" t="inlineStr">
        <is>
          <t>“72 jam, dipadatkan jadi 30 detik.”</t>
        </is>
      </c>
      <c r="P249" s="5" t="inlineStr">
        <is>
          <t>Jam 0: insiden dicatat → jam 24: penahanan → jam 60: pemberitahuan dikirim → CTA</t>
        </is>
      </c>
      <c r="Q249" s="24" t="n">
        <v>0.3</v>
      </c>
      <c r="R249" s="27">
        <f>IF(Q249="","",1-Q249)</f>
        <v/>
      </c>
      <c r="S249" s="5">
        <f>IF(Q249="","—",TEXT(1-Q249,"0%")&amp;" edukasi · "&amp;TEXT(Q249,"0%")&amp;" meme")</f>
        <v/>
      </c>
      <c r="T249" s="5" t="inlineStr">
        <is>
          <t>Manajemen Insiden</t>
        </is>
      </c>
      <c r="U249" s="5" t="inlineStr">
        <is>
          <t>breach-fase, breach-aksi</t>
        </is>
      </c>
      <c r="V249" s="9" t="inlineStr">
        <is>
          <t>30 dtk</t>
        </is>
      </c>
      <c r="W249" s="5" t="inlineStr">
        <is>
          <t>Baru</t>
        </is>
      </c>
      <c r="X249" s="5" t="inlineStr">
        <is>
          <t>Jam berputar; penanda hari; tugas selesai bertahap.</t>
        </is>
      </c>
      <c r="Y249" s="5" t="inlineStr"/>
      <c r="Z249" s="5">
        <f>IF(OR(E249="Bisa",E249="Berat"),1,0)</f>
        <v/>
      </c>
      <c r="AA249" s="5">
        <f>IF(Z249=1,J249-ROW()/100000,"")</f>
        <v/>
      </c>
      <c r="AB249" s="5">
        <f>B249&amp;"|"&amp;K249</f>
        <v/>
      </c>
    </row>
    <row r="250" ht="78" customHeight="1">
      <c r="A250" s="19" t="inlineStr">
        <is>
          <t>SE23</t>
        </is>
      </c>
      <c r="B250" s="20" t="inlineStr">
        <is>
          <t>Struktur edit</t>
        </is>
      </c>
      <c r="C250" s="21" t="inlineStr">
        <is>
          <t>Fun fact storytelling + sisipan meme</t>
        </is>
      </c>
      <c r="D250" s="20" t="inlineStr">
        <is>
          <t>Narasi cepat ala video fakta unik: caption tebal 2–3 kata, panah merah, potongan reaksi meme.</t>
        </is>
      </c>
      <c r="E250" s="28" t="inlineStr">
        <is>
          <t>Bisa</t>
        </is>
      </c>
      <c r="F250" s="19" t="inlineStr"/>
      <c r="G250" s="19" t="n">
        <v>2</v>
      </c>
      <c r="H250" s="19" t="n">
        <v>8</v>
      </c>
      <c r="I250" s="19" t="n">
        <v>7</v>
      </c>
      <c r="J250" s="23">
        <f>IF(E250="Tidak cocok","",ROUND(H250*W_GAYA_WOW+I250*W_GAYA_MEREK+(11-2*G250)*W_GAYA_MUDAH,1))</f>
        <v/>
      </c>
      <c r="K250" s="19">
        <f>IF(Z250=1,COUNTIFS($B$2:$B$254,B250,$AA$2:$AA$254,"&gt;"&amp;AA250)+1,"—")</f>
        <v/>
      </c>
      <c r="L250" s="19" t="n">
        <v>7</v>
      </c>
      <c r="M250" s="21" t="inlineStr">
        <is>
          <t>Ini yang Harus Kamu Lakukan Ketika Dapat Email Ini!</t>
        </is>
      </c>
      <c r="N250" s="19" t="inlineStr">
        <is>
          <t>Relate</t>
        </is>
      </c>
      <c r="O250" s="20" t="inlineStr">
        <is>
          <t>“Ini yang harus kamu lakukan ketika dapat email ini!”</t>
        </is>
      </c>
      <c r="P250" s="20" t="inlineStr">
        <is>
          <t>Email “hapus data saya” disorot panah merah → jangan panik (sisipan meme) → 3 langkah DSR → tenggat 72 jam → CTA</t>
        </is>
      </c>
      <c r="Q250" s="24" t="n">
        <v>0.4</v>
      </c>
      <c r="R250" s="25">
        <f>IF(Q250="","",1-Q250)</f>
        <v/>
      </c>
      <c r="S250" s="20">
        <f>IF(Q250="","—",TEXT(1-Q250,"0%")&amp;" edukasi · "&amp;TEXT(Q250,"0%")&amp;" meme")</f>
        <v/>
      </c>
      <c r="T250" s="20" t="inlineStr">
        <is>
          <t>DSR</t>
        </is>
      </c>
      <c r="U250" s="20" t="inlineStr">
        <is>
          <t>dsr-form, dsr-detail</t>
        </is>
      </c>
      <c r="V250" s="19" t="inlineStr">
        <is>
          <t>30 dtk</t>
        </is>
      </c>
      <c r="W250" s="20" t="inlineStr">
        <is>
          <t>Baru (contoh gaya dari pengguna)</t>
        </is>
      </c>
      <c r="X250" s="20" t="inlineStr">
        <is>
          <t>Caption besar per frasa dari timing VO; panah/lingkaran merah digambar; sisipan kartu meme buatan sendiri.</t>
        </is>
      </c>
      <c r="Y250" s="20" t="inlineStr">
        <is>
          <t>Contoh acuan memakai footage asli; versi kita memakai layar asli + grafis. Footage stok perlu lisensi &amp; izin unduh.</t>
        </is>
      </c>
      <c r="Z250" s="20">
        <f>IF(OR(E250="Bisa",E250="Berat"),1,0)</f>
        <v/>
      </c>
      <c r="AA250" s="20">
        <f>IF(Z250=1,J250-ROW()/100000,"")</f>
        <v/>
      </c>
      <c r="AB250" s="20">
        <f>B250&amp;"|"&amp;K250</f>
        <v/>
      </c>
    </row>
    <row r="251" ht="78" customHeight="1">
      <c r="A251" s="9" t="inlineStr">
        <is>
          <t>SE24</t>
        </is>
      </c>
      <c r="B251" s="5" t="inlineStr">
        <is>
          <t>Struktur edit</t>
        </is>
      </c>
      <c r="C251" s="11" t="inlineStr">
        <is>
          <t>Reaksi frasa viral</t>
        </is>
      </c>
      <c r="D251" s="5" t="inlineStr">
        <is>
          <t>Pertanyaan serius dijawab frasa viral, lalu bunyi meme.</t>
        </is>
      </c>
      <c r="E251" s="28" t="inlineStr">
        <is>
          <t>Bisa</t>
        </is>
      </c>
      <c r="F251" s="9" t="inlineStr"/>
      <c r="G251" s="9" t="n">
        <v>1</v>
      </c>
      <c r="H251" s="9" t="n">
        <v>9</v>
      </c>
      <c r="I251" s="9" t="n">
        <v>6</v>
      </c>
      <c r="J251" s="26">
        <f>IF(E251="Tidak cocok","",ROUND(H251*W_GAYA_WOW+I251*W_GAYA_MEREK+(11-2*G251)*W_GAYA_MUDAH,1))</f>
        <v/>
      </c>
      <c r="K251" s="9">
        <f>IF(Z251=1,COUNTIFS($B$2:$B$254,B251,$AA$2:$AA$254,"&gt;"&amp;AA251)+1,"—")</f>
        <v/>
      </c>
      <c r="L251" s="9" t="n">
        <v>7</v>
      </c>
      <c r="M251" s="11" t="inlineStr">
        <is>
          <t>Ketika Auditor Tanya</t>
        </is>
      </c>
      <c r="N251" s="9" t="inlineStr">
        <is>
          <t>Relate</t>
        </is>
      </c>
      <c r="O251" s="5" t="inlineStr">
        <is>
          <t>“Ketika auditor tanya: ‘data pelanggan disimpan di mana?’”</t>
        </is>
      </c>
      <c r="P251" s="5" t="inlineStr">
        <is>
          <t>Jawaban frasa viral (teks + suara tim) → bunyi “FAAAH” → jawaban yang benar: katalog sistem &amp; RoPA → CTA</t>
        </is>
      </c>
      <c r="Q251" s="24" t="n">
        <v>0.8</v>
      </c>
      <c r="R251" s="27">
        <f>IF(Q251="","",1-Q251)</f>
        <v/>
      </c>
      <c r="S251" s="5">
        <f>IF(Q251="","—",TEXT(1-Q251,"0%")&amp;" edukasi · "&amp;TEXT(Q251,"0%")&amp;" meme")</f>
        <v/>
      </c>
      <c r="T251" s="5" t="inlineStr">
        <is>
          <t>Data Discovery, RoPA</t>
        </is>
      </c>
      <c r="U251" s="5" t="inlineStr">
        <is>
          <t>ropa-list-baru</t>
        </is>
      </c>
      <c r="V251" s="9" t="inlineStr">
        <is>
          <t>15 dtk</t>
        </is>
      </c>
      <c r="W251" s="5" t="inlineStr">
        <is>
          <t>Baru (lihat sheet Hook Frasa Viral)</t>
        </is>
      </c>
      <c r="X251" s="5" t="inlineStr">
        <is>
          <t>Kartu pertanyaan → kartu jawaban frasa (teks) → SFX → solusi.</t>
        </is>
      </c>
      <c r="Y251" s="5" t="inlineStr">
        <is>
          <t>FRASA SAJA: tanpa wajah, suara asli, nama, atau klip tokoh. Lihat catatan hukum di sheet Hook Frasa Viral.</t>
        </is>
      </c>
      <c r="Z251" s="5">
        <f>IF(OR(E251="Bisa",E251="Berat"),1,0)</f>
        <v/>
      </c>
      <c r="AA251" s="5">
        <f>IF(Z251=1,J251-ROW()/100000,"")</f>
        <v/>
      </c>
      <c r="AB251" s="5">
        <f>B251&amp;"|"&amp;K251</f>
        <v/>
      </c>
    </row>
    <row r="252" ht="78" customHeight="1">
      <c r="A252" s="19" t="inlineStr">
        <is>
          <t>SE25</t>
        </is>
      </c>
      <c r="B252" s="20" t="inlineStr">
        <is>
          <t>Struktur edit</t>
        </is>
      </c>
      <c r="C252" s="21" t="inlineStr">
        <is>
          <t>Balas komentar</t>
        </is>
      </c>
      <c r="D252" s="20" t="inlineStr">
        <is>
          <t>Kartu komentar di atas, jawaban video di bawahnya.</t>
        </is>
      </c>
      <c r="E252" s="28" t="inlineStr">
        <is>
          <t>Bisa</t>
        </is>
      </c>
      <c r="F252" s="19" t="inlineStr"/>
      <c r="G252" s="19" t="n">
        <v>1</v>
      </c>
      <c r="H252" s="19" t="n">
        <v>7</v>
      </c>
      <c r="I252" s="19" t="n">
        <v>7</v>
      </c>
      <c r="J252" s="23">
        <f>IF(E252="Tidak cocok","",ROUND(H252*W_GAYA_WOW+I252*W_GAYA_MEREK+(11-2*G252)*W_GAYA_MUDAH,1))</f>
        <v/>
      </c>
      <c r="K252" s="19">
        <f>IF(Z252=1,COUNTIFS($B$2:$B$254,B252,$AA$2:$AA$254,"&gt;"&amp;AA252)+1,"—")</f>
        <v/>
      </c>
      <c r="L252" s="19" t="n">
        <v>7</v>
      </c>
      <c r="M252" s="21" t="inlineStr">
        <is>
          <t>DPO Itu Kerjanya Apa?</t>
        </is>
      </c>
      <c r="N252" s="19" t="inlineStr">
        <is>
          <t>Relate</t>
        </is>
      </c>
      <c r="O252" s="20" t="inlineStr">
        <is>
          <t>“Membalas komentar: ‘DPO itu kerjanya apa sih?’”</t>
        </is>
      </c>
      <c r="P252" s="20" t="inlineStr">
        <is>
          <t>Komentar → 3 tugas nyata → alat bantunya → CTA</t>
        </is>
      </c>
      <c r="Q252" s="24" t="n">
        <v>0.5</v>
      </c>
      <c r="R252" s="25">
        <f>IF(Q252="","",1-Q252)</f>
        <v/>
      </c>
      <c r="S252" s="20">
        <f>IF(Q252="","—",TEXT(1-Q252,"0%")&amp;" edukasi · "&amp;TEXT(Q252,"0%")&amp;" meme")</f>
        <v/>
      </c>
      <c r="T252" s="20" t="inlineStr">
        <is>
          <t>Brand</t>
        </is>
      </c>
      <c r="U252" s="20" t="inlineStr">
        <is>
          <t>dashboard</t>
        </is>
      </c>
      <c r="V252" s="19" t="inlineStr">
        <is>
          <t>15 dtk</t>
        </is>
      </c>
      <c r="W252" s="20" t="inlineStr">
        <is>
          <t>A40</t>
        </is>
      </c>
      <c r="X252" s="20" t="inlineStr">
        <is>
          <t>Kartu komentar tiruan; jawaban bertahap.</t>
        </is>
      </c>
      <c r="Y252" s="20" t="inlineStr">
        <is>
          <t>Komentar ilustrasi; tanpa nama akun nyata.</t>
        </is>
      </c>
      <c r="Z252" s="20">
        <f>IF(OR(E252="Bisa",E252="Berat"),1,0)</f>
        <v/>
      </c>
      <c r="AA252" s="20">
        <f>IF(Z252=1,J252-ROW()/100000,"")</f>
        <v/>
      </c>
      <c r="AB252" s="20">
        <f>B252&amp;"|"&amp;K252</f>
        <v/>
      </c>
    </row>
    <row r="253" ht="78" customHeight="1">
      <c r="A253" s="9" t="inlineStr">
        <is>
          <t>SE26</t>
        </is>
      </c>
      <c r="B253" s="5" t="inlineStr">
        <is>
          <t>Struktur edit</t>
        </is>
      </c>
      <c r="C253" s="11" t="inlineStr">
        <is>
          <t>Komentar layar hijau</t>
        </is>
      </c>
      <c r="D253" s="5" t="inlineStr">
        <is>
          <t>Orang berbicara di depan tangkapan layar.</t>
        </is>
      </c>
      <c r="E253" s="34" t="inlineStr">
        <is>
          <t>Berat</t>
        </is>
      </c>
      <c r="F253" s="9" t="inlineStr"/>
      <c r="G253" s="9" t="n">
        <v>3</v>
      </c>
      <c r="H253" s="9" t="n">
        <v>7</v>
      </c>
      <c r="I253" s="9" t="n">
        <v>8</v>
      </c>
      <c r="J253" s="26">
        <f>IF(E253="Tidak cocok","",ROUND(H253*W_GAYA_WOW+I253*W_GAYA_MEREK+(11-2*G253)*W_GAYA_MUDAH,1))</f>
        <v/>
      </c>
      <c r="K253" s="9">
        <f>IF(Z253=1,COUNTIFS($B$2:$B$254,B253,$AA$2:$AA$254,"&gt;"&amp;AA253)+1,"—")</f>
        <v/>
      </c>
      <c r="L253" s="9" t="n">
        <v>7</v>
      </c>
      <c r="M253" s="11" t="inlineStr">
        <is>
          <t>—</t>
        </is>
      </c>
      <c r="N253" s="9" t="inlineStr">
        <is>
          <t>—</t>
        </is>
      </c>
      <c r="O253" s="5" t="inlineStr">
        <is>
          <t>—</t>
        </is>
      </c>
      <c r="P253" s="5" t="inlineStr">
        <is>
          <t>—</t>
        </is>
      </c>
      <c r="Q253" s="24" t="n"/>
      <c r="R253" s="27">
        <f>IF(Q253="","",1-Q253)</f>
        <v/>
      </c>
      <c r="S253" s="5">
        <f>IF(Q253="","—",TEXT(1-Q253,"0%")&amp;" edukasi · "&amp;TEXT(Q253,"0%")&amp;" meme")</f>
        <v/>
      </c>
      <c r="T253" s="5" t="inlineStr">
        <is>
          <t>—</t>
        </is>
      </c>
      <c r="U253" s="5" t="inlineStr">
        <is>
          <t>—</t>
        </is>
      </c>
      <c r="V253" s="9" t="inlineStr">
        <is>
          <t>—</t>
        </is>
      </c>
      <c r="W253" s="5" t="inlineStr">
        <is>
          <t>—</t>
        </is>
      </c>
      <c r="X253" s="5" t="inlineStr">
        <is>
          <t>Butuh talenta &amp; rekaman video.</t>
        </is>
      </c>
      <c r="Y253" s="5" t="inlineStr">
        <is>
          <t>Butuh orang di depan kamera (dan persetujuannya).</t>
        </is>
      </c>
      <c r="Z253" s="5">
        <f>IF(OR(E253="Bisa",E253="Berat"),1,0)</f>
        <v/>
      </c>
      <c r="AA253" s="5">
        <f>IF(Z253=1,J253-ROW()/100000,"")</f>
        <v/>
      </c>
      <c r="AB253" s="5">
        <f>B253&amp;"|"&amp;K253</f>
        <v/>
      </c>
    </row>
    <row r="254" ht="78" customHeight="1">
      <c r="A254" s="19" t="inlineStr">
        <is>
          <t>SE27</t>
        </is>
      </c>
      <c r="B254" s="20" t="inlineStr">
        <is>
          <t>Struktur edit</t>
        </is>
      </c>
      <c r="C254" s="21" t="inlineStr">
        <is>
          <t>Testimoni pelanggan</t>
        </is>
      </c>
      <c r="D254" s="20" t="inlineStr">
        <is>
          <t>Kutipan pelanggan dengan nama dan jabatan.</t>
        </is>
      </c>
      <c r="E254" s="35" t="inlineStr">
        <is>
          <t>Tidak cocok</t>
        </is>
      </c>
      <c r="F254" s="19" t="inlineStr"/>
      <c r="G254" s="19" t="n">
        <v>2</v>
      </c>
      <c r="H254" s="19" t="n">
        <v>6</v>
      </c>
      <c r="I254" s="19" t="n">
        <v>10</v>
      </c>
      <c r="J254" s="23">
        <f>IF(E254="Tidak cocok","",ROUND(H254*W_GAYA_WOW+I254*W_GAYA_MEREK+(11-2*G254)*W_GAYA_MUDAH,1))</f>
        <v/>
      </c>
      <c r="K254" s="19">
        <f>IF(Z254=1,COUNTIFS($B$2:$B$254,B254,$AA$2:$AA$254,"&gt;"&amp;AA254)+1,"—")</f>
        <v/>
      </c>
      <c r="L254" s="19" t="n">
        <v>7</v>
      </c>
      <c r="M254" s="21" t="inlineStr">
        <is>
          <t>—</t>
        </is>
      </c>
      <c r="N254" s="19" t="inlineStr">
        <is>
          <t>—</t>
        </is>
      </c>
      <c r="O254" s="20" t="inlineStr">
        <is>
          <t>—</t>
        </is>
      </c>
      <c r="P254" s="20" t="inlineStr">
        <is>
          <t>—</t>
        </is>
      </c>
      <c r="Q254" s="24" t="n"/>
      <c r="R254" s="25">
        <f>IF(Q254="","",1-Q254)</f>
        <v/>
      </c>
      <c r="S254" s="20">
        <f>IF(Q254="","—",TEXT(1-Q254,"0%")&amp;" edukasi · "&amp;TEXT(Q254,"0%")&amp;" meme")</f>
        <v/>
      </c>
      <c r="T254" s="20" t="inlineStr">
        <is>
          <t>—</t>
        </is>
      </c>
      <c r="U254" s="20" t="inlineStr">
        <is>
          <t>—</t>
        </is>
      </c>
      <c r="V254" s="19" t="inlineStr">
        <is>
          <t>—</t>
        </is>
      </c>
      <c r="W254" s="20" t="inlineStr">
        <is>
          <t>—</t>
        </is>
      </c>
      <c r="X254" s="20" t="inlineStr">
        <is>
          <t>Butuh testimoni asli dan izin tertulis.</t>
        </is>
      </c>
      <c r="Y254" s="20" t="inlineStr">
        <is>
          <t>Jangan mengarang testimoni. Bisa dibuat begitu ada izin tertulis.</t>
        </is>
      </c>
      <c r="Z254" s="20">
        <f>IF(OR(E254="Bisa",E254="Berat"),1,0)</f>
        <v/>
      </c>
      <c r="AA254" s="20">
        <f>IF(Z254=1,J254-ROW()/100000,"")</f>
        <v/>
      </c>
      <c r="AB254" s="20">
        <f>B254&amp;"|"&amp;K254</f>
        <v/>
      </c>
    </row>
  </sheetData>
  <autoFilter ref="A1:Y254"/>
  <conditionalFormatting sqref="H2:H254">
    <cfRule type="colorScale" priority="1">
      <colorScale>
        <cfvo type="num" val="5"/>
        <cfvo type="num" val="7"/>
        <cfvo type="num" val="10"/>
        <color rgb="00F8696B"/>
        <color rgb="00FFEB84"/>
        <color rgb="0063BE7B"/>
      </colorScale>
    </cfRule>
  </conditionalFormatting>
  <conditionalFormatting sqref="I2:I254">
    <cfRule type="colorScale" priority="2">
      <colorScale>
        <cfvo type="num" val="5"/>
        <cfvo type="num" val="7"/>
        <cfvo type="num" val="10"/>
        <color rgb="00F8696B"/>
        <color rgb="00FFEB84"/>
        <color rgb="0063BE7B"/>
      </colorScale>
    </cfRule>
  </conditionalFormatting>
  <conditionalFormatting sqref="J2:J254">
    <cfRule type="colorScale" priority="3">
      <colorScale>
        <cfvo type="num" val="5"/>
        <cfvo type="num" val="7"/>
        <cfvo type="num" val="9"/>
        <color rgb="00F8696B"/>
        <color rgb="00FFEB84"/>
        <color rgb="0063BE7B"/>
      </colorScale>
    </cfRule>
  </conditionalFormatting>
  <conditionalFormatting sqref="G2:G254">
    <cfRule type="colorScale" priority="4">
      <colorScale>
        <cfvo type="num" val="1"/>
        <cfvo type="num" val="3"/>
        <cfvo type="num" val="5"/>
        <color rgb="0063BE7B"/>
        <color rgb="00FFEB84"/>
        <color rgb="00F8696B"/>
      </colorScale>
    </cfRule>
  </conditionalFormatting>
  <dataValidations count="5">
    <dataValidation sqref="G2:G254" showDropDown="0" showInputMessage="0" showErrorMessage="0" allowBlank="0" error="Isi 1–5" type="whole" operator="between">
      <formula1>1</formula1>
      <formula2>5</formula2>
    </dataValidation>
    <dataValidation sqref="H2:H254" showDropDown="0" showInputMessage="0" showErrorMessage="0" allowBlank="0" error="Isi 1–10" type="whole" operator="between">
      <formula1>1</formula1>
      <formula2>10</formula2>
    </dataValidation>
    <dataValidation sqref="I2:I254" showDropDown="0" showInputMessage="0" showErrorMessage="0" allowBlank="0" error="Isi 1–10" type="whole" operator="between">
      <formula1>1</formula1>
      <formula2>10</formula2>
    </dataValidation>
    <dataValidation sqref="Q2:Q254" showDropDown="0" showInputMessage="0" showErrorMessage="0" allowBlank="0" error="Isi 0%–100%" type="decimal" operator="between">
      <formula1>0</formula1>
      <formula2>1</formula2>
    </dataValidation>
    <dataValidation sqref="E2:E254" showDropDown="0" showInputMessage="0" showErrorMessage="0" allowBlank="0" type="list">
      <formula1>"Sudah,Bisa,Berat,Tidak cocok"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xSplit="2" ySplit="14" topLeftCell="C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40" customWidth="1" min="4" max="4"/>
    <col width="56" customWidth="1" min="5" max="5"/>
    <col width="22" customWidth="1" min="6" max="6"/>
    <col width="30" customWidth="1" min="7" max="7"/>
    <col width="10" customWidth="1" min="8" max="8"/>
    <col width="40" customWidth="1" min="9" max="9"/>
  </cols>
  <sheetData>
    <row r="1">
      <c r="A1" s="10" t="inlineStr">
        <is>
          <t>Hook frasa viral (termasuk frasa politik): pemancing perhatian, versi aman</t>
        </is>
      </c>
    </row>
    <row r="2" ht="46" customHeight="1">
      <c r="A2" s="36" t="inlineStr">
        <is>
          <t>Frasa dipakai sebagai PEMANCING di 0–3 detik pertama, lalu video kembali ke pesan produk. Yang dipakai hanya frasanya (teks + suara tim); wajah, suara asli, nama, klip video, dan gambar meme tokoh TIDAK dipakai. Konteks tiap frasa cepat berubah: cek ulang sebelum tayang.</t>
        </is>
      </c>
    </row>
    <row r="4">
      <c r="A4" s="8" t="inlineStr">
        <is>
          <t>Aturan pakai</t>
        </is>
      </c>
    </row>
    <row r="5" ht="30" customHeight="1">
      <c r="A5" s="2" t="inlineStr">
        <is>
          <t>1. Yang boleh: FRASA-nya saja, ditulis sebagai teks dan diucapkan tim/TTS dengan gaya sendiri.</t>
        </is>
      </c>
    </row>
    <row r="6" ht="30" customHeight="1">
      <c r="A6" s="2" t="inlineStr">
        <is>
          <t>2. Yang tidak dipakai di iklan: wajah, foto, video, suara asli, nama, atau tiruan suara/logat tokoh mana pun.</t>
        </is>
      </c>
    </row>
    <row r="7" ht="30" customHeight="1">
      <c r="A7" s="2" t="inlineStr">
        <is>
          <t>3. Dasar: UU Hak Cipta No. 28/2014 Pasal 12: potret orang untuk reklame/iklan komersial wajib izin tertulis dari orangnya (ancaman denda sampai Rp500 juta).</t>
        </is>
      </c>
    </row>
    <row r="8" ht="30" customHeight="1">
      <c r="A8" s="2" t="inlineStr">
        <is>
          <t>4. Suara dan wajah adalah data pribadi (UU PDP). Iklan Privasimu yang memakainya tanpa izin berlawanan dengan pesan produknya sendiri.</t>
        </is>
      </c>
    </row>
    <row r="9" ht="30" customHeight="1">
      <c r="A9" s="2" t="inlineStr">
        <is>
          <t>5. Klip TV/YouTube/TikTok dan gambar meme adalah ciptaan pihak lain; myinstants dan sejenisnya hanya untuk pemakaian pribadi nonkomersial.</t>
        </is>
      </c>
    </row>
    <row r="10" ht="30" customHeight="1">
      <c r="A10" s="2" t="inlineStr">
        <is>
          <t>6. Frasa tokoh politik yang sedang menjabat bisa dibaca sebagai dukungan atau sindiran. Klien Privasimu banyak dari korporasi, lembaga keuangan, dan BUMN: jaga netralitas.</t>
        </is>
      </c>
    </row>
    <row r="11" ht="30" customHeight="1">
      <c r="A11" s="2" t="inlineStr">
        <is>
          <t>7. Saran pemakaian: frasa politik berisiko Sedang hanya untuk konten organik, bukan iklan berbayar. Risiko Tinggi: hindari.</t>
        </is>
      </c>
    </row>
    <row r="12" ht="30" customHeight="1">
      <c r="A12" s="2" t="inlineStr">
        <is>
          <t>8. Ini bukan nasihat hukum; konfirmasi dengan penasihat hukum sebelum tayang.</t>
        </is>
      </c>
    </row>
    <row r="14" ht="34" customHeight="1">
      <c r="A14" s="3" t="inlineStr">
        <is>
          <t>No</t>
        </is>
      </c>
      <c r="B14" s="3" t="inlineStr">
        <is>
          <t>Frasa</t>
        </is>
      </c>
      <c r="C14" s="3" t="inlineStr">
        <is>
          <t>Jenis</t>
        </is>
      </c>
      <c r="D14" s="3" t="inlineStr">
        <is>
          <t>Konteks singkat</t>
        </is>
      </c>
      <c r="E14" s="3" t="inlineStr">
        <is>
          <t>Contoh hook Privasimu</t>
        </is>
      </c>
      <c r="F14" s="3" t="inlineStr">
        <is>
          <t>Modul</t>
        </is>
      </c>
      <c r="G14" s="3" t="inlineStr">
        <is>
          <t>Cara pakai aman</t>
        </is>
      </c>
      <c r="H14" s="3" t="inlineStr">
        <is>
          <t>Risiko</t>
        </is>
      </c>
      <c r="I14" s="3" t="inlineStr">
        <is>
          <t>Catatan</t>
        </is>
      </c>
    </row>
    <row r="15" ht="62" customHeight="1">
      <c r="A15" s="9" t="n">
        <v>1</v>
      </c>
      <c r="B15" s="11" t="inlineStr">
        <is>
          <t>“Yo ndak tahu, kok tanya saya.”</t>
        </is>
      </c>
      <c r="C15" s="9" t="inlineStr">
        <is>
          <t>Frasa politik</t>
        </is>
      </c>
      <c r="D15" s="5" t="inlineStr">
        <is>
          <t>Dikenal luas sebagai YNTKTS; lekat dengan mantan Presiden Jokowi. Dipakai netizen untuk jawaban mengelak.</t>
        </is>
      </c>
      <c r="E15" s="5" t="inlineStr">
        <is>
          <t>Ketika auditor tanya: “Data pelanggan disimpan di mana?” — “Yo ndak tahu, kok tanya saya.” — FAAAH. → “Di Nexus, jawabannya ada di katalog sistem.”</t>
        </is>
      </c>
      <c r="F15" s="5" t="inlineStr">
        <is>
          <t>Data Discovery, RoPA</t>
        </is>
      </c>
      <c r="G15" s="5" t="inlineStr">
        <is>
          <t>Teks di layar + suara tim dengan gaya sendiri</t>
        </is>
      </c>
      <c r="H15" s="34" t="inlineStr">
        <is>
          <t>Sedang</t>
        </is>
      </c>
      <c r="I15" s="5" t="inlineStr">
        <is>
          <t>Contoh dari pengguna. Tanpa nama, wajah, suara asli, atau logat tiruan.</t>
        </is>
      </c>
    </row>
    <row r="16" ht="62" customHeight="1">
      <c r="A16" s="9" t="n">
        <v>2</v>
      </c>
      <c r="B16" s="11" t="inlineStr">
        <is>
          <t>“Omon-omon.”</t>
        </is>
      </c>
      <c r="C16" s="9" t="inlineStr">
        <is>
          <t>Frasa politik</t>
        </is>
      </c>
      <c r="D16" s="5" t="inlineStr">
        <is>
          <t>Diucapkan Prabowo di debat capres 7 Januari 2024. Pada 2026 juga dipakai pengkritik pemerintah.</t>
        </is>
      </c>
      <c r="E16" s="5" t="inlineStr">
        <is>
          <t>“Patuh jangan cuma omon-omon. Mana buktinya?” → log persetujuan &amp; bukti.</t>
        </is>
      </c>
      <c r="F16" s="5" t="inlineStr">
        <is>
          <t>Consent, GAP Assessment</t>
        </is>
      </c>
      <c r="G16" s="5" t="inlineStr">
        <is>
          <t>Teks saja</t>
        </is>
      </c>
      <c r="H16" s="35" t="inlineStr">
        <is>
          <t>Tinggi</t>
        </is>
      </c>
      <c r="I16" s="5" t="inlineStr">
        <is>
          <t>Sedang dipakai sebagai kritik politik; mudah dibaca berpihak. Sebaiknya dihindari di iklan.</t>
        </is>
      </c>
    </row>
    <row r="17" ht="62" customHeight="1">
      <c r="A17" s="9" t="n">
        <v>3</v>
      </c>
      <c r="B17" s="11" t="inlineStr">
        <is>
          <t>“Bocor… bocor…”</t>
        </is>
      </c>
      <c r="C17" s="9" t="inlineStr">
        <is>
          <t>Frasa politik</t>
        </is>
      </c>
      <c r="D17" s="5" t="inlineStr">
        <is>
          <t>Lekat dengan pidato kampanye Prabowo tentang “kebocoran”; lama jadi bahan meme.</t>
        </is>
      </c>
      <c r="E17" s="5" t="inlineStr">
        <is>
          <t>“Bocor… bocor…” (kali ini datanya). → penghitung mundur 3×24 jam.</t>
        </is>
      </c>
      <c r="F17" s="5" t="inlineStr">
        <is>
          <t>Manajemen Insiden</t>
        </is>
      </c>
      <c r="G17" s="5" t="inlineStr">
        <is>
          <t>Teks + suara tim</t>
        </is>
      </c>
      <c r="H17" s="34" t="inlineStr">
        <is>
          <t>Sedang</t>
        </is>
      </c>
      <c r="I17" s="5" t="inlineStr">
        <is>
          <t>Relevan dengan “kebocoran data”. Cek ulang konteks; jangan menyindir tokohnya.</t>
        </is>
      </c>
    </row>
    <row r="18" ht="62" customHeight="1">
      <c r="A18" s="9" t="n">
        <v>4</v>
      </c>
      <c r="B18" s="11" t="inlineStr">
        <is>
          <t>“Aku rapopo.”</t>
        </is>
      </c>
      <c r="C18" s="9" t="inlineStr">
        <is>
          <t>Frasa politik</t>
        </is>
      </c>
      <c r="D18" s="5" t="inlineStr">
        <is>
          <t>Frasa Jawa (“aku tidak apa-apa”) yang populer sejak 2014 dan lekat dengan Jokowi.</t>
        </is>
      </c>
      <c r="E18" s="5" t="inlineStr">
        <is>
          <t>Auditor datang mendadak. DPO: “Aku rapopo.” (RoPA-nya sudah rapi.)</t>
        </is>
      </c>
      <c r="F18" s="5" t="inlineStr">
        <is>
          <t>RoPA, Dasbor</t>
        </is>
      </c>
      <c r="G18" s="5" t="inlineStr">
        <is>
          <t>Teks + suara tim</t>
        </is>
      </c>
      <c r="H18" s="34" t="inlineStr">
        <is>
          <t>Sedang</t>
        </is>
      </c>
      <c r="I18" s="5" t="inlineStr">
        <is>
          <t>Frasa sehari-hari; asosiasi politiknya sudah melemah.</t>
        </is>
      </c>
    </row>
    <row r="19" ht="62" customHeight="1">
      <c r="A19" s="9" t="n">
        <v>5</v>
      </c>
      <c r="B19" s="11" t="inlineStr">
        <is>
          <t>Pola “kerja, kerja, kerja”</t>
        </is>
      </c>
      <c r="C19" s="9" t="inlineStr">
        <is>
          <t>Frasa politik</t>
        </is>
      </c>
      <c r="D19" s="5" t="inlineStr">
        <is>
          <t>Slogan tiga kata yang lekat dengan pemerintahan Jokowi.</t>
        </is>
      </c>
      <c r="E19" s="5" t="inlineStr">
        <is>
          <t>“Catat, catat, catat.” (meminjam POLA tiga kata, bukan slogannya)</t>
        </is>
      </c>
      <c r="F19" s="5" t="inlineStr">
        <is>
          <t>RoPA</t>
        </is>
      </c>
      <c r="G19" s="5" t="inlineStr">
        <is>
          <t>Pakai pola, ganti katanya</t>
        </is>
      </c>
      <c r="H19" s="22" t="inlineStr">
        <is>
          <t>Rendah</t>
        </is>
      </c>
      <c r="I19" s="5" t="inlineStr">
        <is>
          <t>Tidak mengutip slogan aslinya.</t>
        </is>
      </c>
    </row>
    <row r="20" ht="62" customHeight="1">
      <c r="A20" s="9" t="n">
        <v>6</v>
      </c>
      <c r="B20" s="11" t="inlineStr">
        <is>
          <t>“Sorry ye.”</t>
        </is>
      </c>
      <c r="C20" s="9" t="inlineStr">
        <is>
          <t>Frasa politik</t>
        </is>
      </c>
      <c r="D20" s="5" t="inlineStr">
        <is>
          <t>Diucapkan Prabowo di debat capres Desember 2023.</t>
        </is>
      </c>
      <c r="E20" s="5" t="inlineStr">
        <is>
          <t>“RoPA-nya belum ada, ya?” — “Sorry ye, sudah tercatat semua.”</t>
        </is>
      </c>
      <c r="F20" s="5" t="inlineStr">
        <is>
          <t>RoPA</t>
        </is>
      </c>
      <c r="G20" s="5" t="inlineStr">
        <is>
          <t>Teks saja</t>
        </is>
      </c>
      <c r="H20" s="34" t="inlineStr">
        <is>
          <t>Sedang</t>
        </is>
      </c>
      <c r="I20" s="5" t="inlineStr">
        <is>
          <t>Tanpa gestur/tiruan suara.</t>
        </is>
      </c>
    </row>
    <row r="21" ht="62" customHeight="1">
      <c r="A21" s="9" t="n">
        <v>7</v>
      </c>
      <c r="B21" s="11" t="inlineStr">
        <is>
          <t>“Saya prihatin.”</t>
        </is>
      </c>
      <c r="C21" s="9" t="inlineStr">
        <is>
          <t>Frasa politik</t>
        </is>
      </c>
      <c r="D21" s="5" t="inlineStr">
        <is>
          <t>Lekat dengan mantan Presiden SBY.</t>
        </is>
      </c>
      <c r="E21" s="5" t="inlineStr">
        <is>
          <t>“Saya prihatin… RoPA-nya masih di spreadsheet.”</t>
        </is>
      </c>
      <c r="F21" s="5" t="inlineStr">
        <is>
          <t>RoPA</t>
        </is>
      </c>
      <c r="G21" s="5" t="inlineStr">
        <is>
          <t>Teks saja</t>
        </is>
      </c>
      <c r="H21" s="34" t="inlineStr">
        <is>
          <t>Sedang</t>
        </is>
      </c>
      <c r="I21" s="5" t="inlineStr">
        <is>
          <t>Frasa umum; asosiasi politiknya sudah lama.</t>
        </is>
      </c>
    </row>
    <row r="22" ht="62" customHeight="1">
      <c r="A22" s="9" t="n">
        <v>8</v>
      </c>
      <c r="B22" s="11" t="inlineStr">
        <is>
          <t>“Kabur aja dulu.”</t>
        </is>
      </c>
      <c r="C22" s="9" t="inlineStr">
        <is>
          <t>Frasa politik</t>
        </is>
      </c>
      <c r="D22" s="5" t="inlineStr">
        <is>
          <t>Tagar warganet 2025 yang bernuansa kritik sosial-politik.</t>
        </is>
      </c>
      <c r="E22" s="5" t="inlineStr">
        <is>
          <t>Auditor datang? “Kabur aja dulu.” …atau buka dasbor.</t>
        </is>
      </c>
      <c r="F22" s="5" t="inlineStr">
        <is>
          <t>Dasbor kepatuhan</t>
        </is>
      </c>
      <c r="G22" s="5" t="inlineStr">
        <is>
          <t>Teks saja</t>
        </is>
      </c>
      <c r="H22" s="34" t="inlineStr">
        <is>
          <t>Sedang</t>
        </is>
      </c>
      <c r="I22" s="5" t="inlineStr">
        <is>
          <t>Bernuansa kritik; pakai untuk organik saja.</t>
        </is>
      </c>
    </row>
    <row r="23" ht="62" customHeight="1">
      <c r="A23" s="9" t="n">
        <v>9</v>
      </c>
      <c r="B23" s="11" t="inlineStr">
        <is>
          <t>“Ndasmu.”</t>
        </is>
      </c>
      <c r="C23" s="9" t="inlineStr">
        <is>
          <t>Frasa politik</t>
        </is>
      </c>
      <c r="D23" s="5" t="inlineStr">
        <is>
          <t>Ucapan kasar yang viral pada 2023.</t>
        </is>
      </c>
      <c r="E23" s="5" t="inlineStr">
        <is>
          <t>—</t>
        </is>
      </c>
      <c r="F23" s="5" t="inlineStr">
        <is>
          <t>—</t>
        </is>
      </c>
      <c r="G23" s="5" t="inlineStr">
        <is>
          <t>Jangan dipakai</t>
        </is>
      </c>
      <c r="H23" s="35" t="inlineStr">
        <is>
          <t>Tinggi</t>
        </is>
      </c>
      <c r="I23" s="5" t="inlineStr">
        <is>
          <t>Kasar; tidak cocok untuk merek.</t>
        </is>
      </c>
    </row>
    <row r="24" ht="62" customHeight="1">
      <c r="A24" s="9" t="n">
        <v>10</v>
      </c>
      <c r="B24" s="11" t="inlineStr">
        <is>
          <t>“Antek asing”, “londo ireng”</t>
        </is>
      </c>
      <c r="C24" s="9" t="inlineStr">
        <is>
          <t>Frasa politik</t>
        </is>
      </c>
      <c r="D24" s="5" t="inlineStr">
        <is>
          <t>Tuduhan politik yang sedang panas pada 2026.</t>
        </is>
      </c>
      <c r="E24" s="5" t="inlineStr">
        <is>
          <t>—</t>
        </is>
      </c>
      <c r="F24" s="5" t="inlineStr">
        <is>
          <t>—</t>
        </is>
      </c>
      <c r="G24" s="5" t="inlineStr">
        <is>
          <t>Jangan dipakai</t>
        </is>
      </c>
      <c r="H24" s="35" t="inlineStr">
        <is>
          <t>Tinggi</t>
        </is>
      </c>
      <c r="I24" s="5" t="inlineStr">
        <is>
          <t>Menyasar kelompok tertentu; berisiko tinggi untuk merek.</t>
        </is>
      </c>
    </row>
    <row r="25" ht="62" customHeight="1">
      <c r="A25" s="9" t="n">
        <v>11</v>
      </c>
      <c r="B25" s="11" t="inlineStr">
        <is>
          <t>“Astaga, bercanda.”</t>
        </is>
      </c>
      <c r="C25" s="9" t="inlineStr">
        <is>
          <t>Frasa warganet</t>
        </is>
      </c>
      <c r="D25" s="5" t="inlineStr">
        <is>
          <t>Viral Agustus–September 2026.</t>
        </is>
      </c>
      <c r="E25" s="5" t="inlineStr">
        <is>
          <t>Pak Bos: “Kita sudah patuh UU PDP, kan?” — “Astaga, bercanda.”</t>
        </is>
      </c>
      <c r="F25" s="5" t="inlineStr">
        <is>
          <t>GAP Assessment</t>
        </is>
      </c>
      <c r="G25" s="5" t="inlineStr">
        <is>
          <t>Teks + suara tim</t>
        </is>
      </c>
      <c r="H25" s="22" t="inlineStr">
        <is>
          <t>Rendah</t>
        </is>
      </c>
      <c r="I25" s="5" t="inlineStr">
        <is>
          <t>Sudah dipakai di N11.</t>
        </is>
      </c>
    </row>
    <row r="26" ht="62" customHeight="1">
      <c r="A26" s="9" t="n">
        <v>12</v>
      </c>
      <c r="B26" s="11" t="inlineStr">
        <is>
          <t>“Orang have / haven’t / not yet.”</t>
        </is>
      </c>
      <c r="C26" s="9" t="inlineStr">
        <is>
          <t>Frasa warganet</t>
        </is>
      </c>
      <c r="D26" s="5" t="inlineStr">
        <is>
          <t>Istilah gaul September 2026.</t>
        </is>
      </c>
      <c r="E26" s="5" t="inlineStr">
        <is>
          <t>“Ada orang have: RoPA lengkap. Ada orang haven’t: masih di Excel. Aku? Orang not yet.”</t>
        </is>
      </c>
      <c r="F26" s="5" t="inlineStr">
        <is>
          <t>RoPA, DPIA</t>
        </is>
      </c>
      <c r="G26" s="5" t="inlineStr">
        <is>
          <t>Teks + suara tim</t>
        </is>
      </c>
      <c r="H26" s="22" t="inlineStr">
        <is>
          <t>Rendah</t>
        </is>
      </c>
      <c r="I26" s="5" t="inlineStr">
        <is>
          <t>Sudah dipakai di N11.</t>
        </is>
      </c>
    </row>
    <row r="27" ht="62" customHeight="1">
      <c r="A27" s="9" t="n">
        <v>13</v>
      </c>
      <c r="B27" s="11" t="inlineStr">
        <is>
          <t>“Adalah pokoknya.”</t>
        </is>
      </c>
      <c r="C27" s="9" t="inlineStr">
        <is>
          <t>Frasa warganet</t>
        </is>
      </c>
      <c r="D27" s="5" t="inlineStr">
        <is>
          <t>Jawaban mengambang yang viral 2026.</t>
        </is>
      </c>
      <c r="E27" s="5" t="inlineStr">
        <is>
          <t>“Dasar pemrosesannya apa?” — “Adalah pokoknya.”</t>
        </is>
      </c>
      <c r="F27" s="5" t="inlineStr">
        <is>
          <t>RoPA (wizard)</t>
        </is>
      </c>
      <c r="G27" s="5" t="inlineStr">
        <is>
          <t>Teks + suara tim</t>
        </is>
      </c>
      <c r="H27" s="22" t="inlineStr">
        <is>
          <t>Rendah</t>
        </is>
      </c>
      <c r="I27" s="5" t="inlineStr">
        <is>
          <t>Sudah dipakai di N11; lihat A45.</t>
        </is>
      </c>
    </row>
    <row r="28" ht="62" customHeight="1">
      <c r="A28" s="9" t="n">
        <v>14</v>
      </c>
      <c r="B28" s="11" t="inlineStr">
        <is>
          <t>“Menyala!”</t>
        </is>
      </c>
      <c r="C28" s="9" t="inlineStr">
        <is>
          <t>Frasa warganet</t>
        </is>
      </c>
      <c r="D28" s="5" t="inlineStr">
        <is>
          <t>Ungkapan pujian populer sejak 2024.</t>
        </is>
      </c>
      <c r="E28" s="5" t="inlineStr">
        <is>
          <t>“RoPA selesai sebelum tenggat. Menyala, DPO-ku!”</t>
        </is>
      </c>
      <c r="F28" s="5" t="inlineStr">
        <is>
          <t>RoPA</t>
        </is>
      </c>
      <c r="G28" s="5" t="inlineStr">
        <is>
          <t>Teks + suara tim</t>
        </is>
      </c>
      <c r="H28" s="22" t="inlineStr">
        <is>
          <t>Rendah</t>
        </is>
      </c>
      <c r="I28" s="5" t="inlineStr"/>
    </row>
    <row r="29" ht="62" customHeight="1">
      <c r="A29" s="9" t="n">
        <v>15</v>
      </c>
      <c r="B29" s="11" t="inlineStr">
        <is>
          <t>“Yang penting yakin.”</t>
        </is>
      </c>
      <c r="C29" s="9" t="inlineStr">
        <is>
          <t>Frasa warganet</t>
        </is>
      </c>
      <c r="D29" s="5" t="inlineStr">
        <is>
          <t>Ungkapan sehari-hari.</t>
        </is>
      </c>
      <c r="E29" s="5" t="inlineStr">
        <is>
          <t>“Bukti persetujuannya mana?” — “Yang penting yakin.”</t>
        </is>
      </c>
      <c r="F29" s="5" t="inlineStr">
        <is>
          <t>Consent (log &amp; bukti)</t>
        </is>
      </c>
      <c r="G29" s="5" t="inlineStr">
        <is>
          <t>Teks + suara tim</t>
        </is>
      </c>
      <c r="H29" s="22" t="inlineStr">
        <is>
          <t>Rendah</t>
        </is>
      </c>
      <c r="I29" s="5" t="inlineStr"/>
    </row>
    <row r="30" ht="62" customHeight="1">
      <c r="A30" s="9" t="n">
        <v>16</v>
      </c>
      <c r="B30" s="11" t="inlineStr">
        <is>
          <t>“Dahlah.”</t>
        </is>
      </c>
      <c r="C30" s="9" t="inlineStr">
        <is>
          <t>Frasa warganet</t>
        </is>
      </c>
      <c r="D30" s="5" t="inlineStr">
        <is>
          <t>Ungkapan pasrah.</t>
        </is>
      </c>
      <c r="E30" s="5" t="inlineStr">
        <is>
          <t>Membuka file RoPA versi ke-14: “Dahlah.”</t>
        </is>
      </c>
      <c r="F30" s="5" t="inlineStr">
        <is>
          <t>RoPA</t>
        </is>
      </c>
      <c r="G30" s="5" t="inlineStr">
        <is>
          <t>Teks saja</t>
        </is>
      </c>
      <c r="H30" s="22" t="inlineStr">
        <is>
          <t>Rendah</t>
        </is>
      </c>
      <c r="I30" s="5" t="inlineStr"/>
    </row>
    <row r="31" ht="62" customHeight="1">
      <c r="A31" s="9" t="n">
        <v>17</v>
      </c>
      <c r="B31" s="11" t="inlineStr">
        <is>
          <t>“Valid, no debat.”</t>
        </is>
      </c>
      <c r="C31" s="9" t="inlineStr">
        <is>
          <t>Frasa warganet</t>
        </is>
      </c>
      <c r="D31" s="5" t="inlineStr">
        <is>
          <t>Ungkapan setuju mutlak.</t>
        </is>
      </c>
      <c r="E31" s="5" t="inlineStr">
        <is>
          <t>“Tercatat, ada bukti, ada tenggat. Valid, no debat.”</t>
        </is>
      </c>
      <c r="F31" s="5" t="inlineStr">
        <is>
          <t>Platform</t>
        </is>
      </c>
      <c r="G31" s="5" t="inlineStr">
        <is>
          <t>Teks saja</t>
        </is>
      </c>
      <c r="H31" s="22" t="inlineStr">
        <is>
          <t>Rendah</t>
        </is>
      </c>
      <c r="I31" s="5" t="inlineStr"/>
    </row>
    <row r="32" ht="62" customHeight="1">
      <c r="A32" s="9" t="n">
        <v>18</v>
      </c>
      <c r="B32" s="11" t="inlineStr">
        <is>
          <t>“Bukan kaleng-kaleng.”</t>
        </is>
      </c>
      <c r="C32" s="9" t="inlineStr">
        <is>
          <t>Frasa warganet</t>
        </is>
      </c>
      <c r="D32" s="5" t="inlineStr">
        <is>
          <t>Ungkapan “bukan sembarangan”.</t>
        </is>
      </c>
      <c r="E32" s="5" t="inlineStr">
        <is>
          <t>“Log audit berantai hash. Bukan kaleng-kaleng.”</t>
        </is>
      </c>
      <c r="F32" s="5" t="inlineStr">
        <is>
          <t>Log audit</t>
        </is>
      </c>
      <c r="G32" s="5" t="inlineStr">
        <is>
          <t>Teks saja</t>
        </is>
      </c>
      <c r="H32" s="22" t="inlineStr">
        <is>
          <t>Rendah</t>
        </is>
      </c>
      <c r="I32" s="5" t="inlineStr">
        <is>
          <t>Rantai hash bersifat opsional di produk.</t>
        </is>
      </c>
    </row>
    <row r="33" ht="62" customHeight="1">
      <c r="A33" s="9" t="n">
        <v>19</v>
      </c>
      <c r="B33" s="11" t="inlineStr">
        <is>
          <t>“Tipis-tipis.”</t>
        </is>
      </c>
      <c r="C33" s="9" t="inlineStr">
        <is>
          <t>Frasa warganet</t>
        </is>
      </c>
      <c r="D33" s="5" t="inlineStr">
        <is>
          <t>Ungkapan “sedikit demi sedikit”.</t>
        </is>
      </c>
      <c r="E33" s="5" t="inlineStr">
        <is>
          <t>“Patuhnya tipis-tipis dulu.” → mulai dari Start Pre Check.</t>
        </is>
      </c>
      <c r="F33" s="5" t="inlineStr">
        <is>
          <t>GAP Assessment</t>
        </is>
      </c>
      <c r="G33" s="5" t="inlineStr">
        <is>
          <t>Teks saja</t>
        </is>
      </c>
      <c r="H33" s="22" t="inlineStr">
        <is>
          <t>Rendah</t>
        </is>
      </c>
      <c r="I33" s="5" t="inlineStr"/>
    </row>
    <row r="34" ht="62" customHeight="1">
      <c r="A34" s="9" t="n">
        <v>20</v>
      </c>
      <c r="B34" s="11" t="inlineStr">
        <is>
          <t>“Cooked” / “aura”</t>
        </is>
      </c>
      <c r="C34" s="9" t="inlineStr">
        <is>
          <t>Frasa warganet</t>
        </is>
      </c>
      <c r="D34" s="5" t="inlineStr">
        <is>
          <t>Slang 2026.</t>
        </is>
      </c>
      <c r="E34" s="5" t="inlineStr">
        <is>
          <t>“−999 aura: kirim KTP pelanggan lewat grup.”</t>
        </is>
      </c>
      <c r="F34" s="5" t="inlineStr">
        <is>
          <t>Brand, Insiden</t>
        </is>
      </c>
      <c r="G34" s="5" t="inlineStr">
        <is>
          <t>Teks saja</t>
        </is>
      </c>
      <c r="H34" s="22" t="inlineStr">
        <is>
          <t>Rendah</t>
        </is>
      </c>
      <c r="I34" s="5" t="inlineStr">
        <is>
          <t>Lihat A43, A44.</t>
        </is>
      </c>
    </row>
    <row r="35" ht="62" customHeight="1">
      <c r="A35" s="9" t="n">
        <v>21</v>
      </c>
      <c r="B35" s="11" t="inlineStr">
        <is>
          <t>“Kamu nanya?”</t>
        </is>
      </c>
      <c r="C35" s="9" t="inlineStr">
        <is>
          <t>Frasa warganet</t>
        </is>
      </c>
      <c r="D35" s="5" t="inlineStr">
        <is>
          <t>Viral 2022; lekat dengan satu kreator.</t>
        </is>
      </c>
      <c r="E35" s="5" t="inlineStr">
        <is>
          <t>“RoPA itu apa?” — “Kamu nanya?” → kelas DPO Academy.</t>
        </is>
      </c>
      <c r="F35" s="5" t="inlineStr">
        <is>
          <t>DPO Academy</t>
        </is>
      </c>
      <c r="G35" s="5" t="inlineStr">
        <is>
          <t>Teks saja</t>
        </is>
      </c>
      <c r="H35" s="34" t="inlineStr">
        <is>
          <t>Sedang</t>
        </is>
      </c>
      <c r="I35" s="5" t="inlineStr">
        <is>
          <t>Jangan meniru gaya bicara/penampilan kreatornya.</t>
        </is>
      </c>
    </row>
    <row r="36" ht="62" customHeight="1">
      <c r="A36" s="9" t="n">
        <v>22</v>
      </c>
      <c r="B36" s="11" t="inlineStr">
        <is>
          <t>“Emotional damage.”</t>
        </is>
      </c>
      <c r="C36" s="9" t="inlineStr">
        <is>
          <t>Frasa warganet</t>
        </is>
      </c>
      <c r="D36" s="5" t="inlineStr">
        <is>
          <t>Frasa reaksi yang lekat dengan satu kreator.</t>
        </is>
      </c>
      <c r="E36" s="5" t="inlineStr">
        <is>
          <t>CFO membaca “hingga 2% dari pendapatan tahunan”: “Emotional damage.”</t>
        </is>
      </c>
      <c r="F36" s="5" t="inlineStr">
        <is>
          <t>Paparan Sanksi</t>
        </is>
      </c>
      <c r="G36" s="5" t="inlineStr">
        <is>
          <t>Teks + suara tim tanpa meniru logat</t>
        </is>
      </c>
      <c r="H36" s="34" t="inlineStr">
        <is>
          <t>Sedang</t>
        </is>
      </c>
      <c r="I36" s="5" t="inlineStr">
        <is>
          <t>Lihat A08.</t>
        </is>
      </c>
    </row>
    <row r="37" ht="62" customHeight="1">
      <c r="A37" s="9" t="n">
        <v>23</v>
      </c>
      <c r="B37" s="11" t="inlineStr">
        <is>
          <t>“Nanti kita follow up.”</t>
        </is>
      </c>
      <c r="C37" s="9" t="inlineStr">
        <is>
          <t>Frasa kantor</t>
        </is>
      </c>
      <c r="D37" s="5" t="inlineStr">
        <is>
          <t>Kalimat penutup rapat yang jarang ditindaklanjuti.</t>
        </is>
      </c>
      <c r="E37" s="5" t="inlineStr">
        <is>
          <t>“Insidennya kapan dilaporkan?” — “Nanti kita follow up.” (penghitung mundur tetap berjalan)</t>
        </is>
      </c>
      <c r="F37" s="5" t="inlineStr">
        <is>
          <t>Manajemen Insiden</t>
        </is>
      </c>
      <c r="G37" s="5" t="inlineStr">
        <is>
          <t>Teks + suara tim</t>
        </is>
      </c>
      <c r="H37" s="22" t="inlineStr">
        <is>
          <t>Rendah</t>
        </is>
      </c>
      <c r="I37" s="5" t="inlineStr"/>
    </row>
    <row r="38" ht="62" customHeight="1">
      <c r="A38" s="9" t="n">
        <v>24</v>
      </c>
      <c r="B38" s="11" t="inlineStr">
        <is>
          <t>“Mohon izin bertanya.”</t>
        </is>
      </c>
      <c r="C38" s="9" t="inlineStr">
        <is>
          <t>Frasa kantor</t>
        </is>
      </c>
      <c r="D38" s="5" t="inlineStr">
        <is>
          <t>Pembuka sopan khas kantor.</t>
        </is>
      </c>
      <c r="E38" s="5" t="inlineStr">
        <is>
          <t>“Mohon izin bertanya: data pribadi itu apa, ya?”</t>
        </is>
      </c>
      <c r="F38" s="5" t="inlineStr">
        <is>
          <t>DPO Academy</t>
        </is>
      </c>
      <c r="G38" s="5" t="inlineStr">
        <is>
          <t>Teks + suara tim</t>
        </is>
      </c>
      <c r="H38" s="22" t="inlineStr">
        <is>
          <t>Rendah</t>
        </is>
      </c>
      <c r="I38" s="5" t="inlineStr"/>
    </row>
    <row r="39" ht="62" customHeight="1">
      <c r="A39" s="9" t="n">
        <v>25</v>
      </c>
      <c r="B39" s="11" t="inlineStr">
        <is>
          <t>“Sesuai arahan.”</t>
        </is>
      </c>
      <c r="C39" s="9" t="inlineStr">
        <is>
          <t>Frasa kantor</t>
        </is>
      </c>
      <c r="D39" s="5" t="inlineStr">
        <is>
          <t>Jawaban aman khas kantor.</t>
        </is>
      </c>
      <c r="E39" s="5" t="inlineStr">
        <is>
          <t>“Datanya dikirim ke siapa?” — “Sesuai arahan.” (arahan siapa?) → alur persetujuan tercatat.</t>
        </is>
      </c>
      <c r="F39" s="5" t="inlineStr">
        <is>
          <t>RoPA (alur persetujuan)</t>
        </is>
      </c>
      <c r="G39" s="5" t="inlineStr">
        <is>
          <t>Teks + suara tim</t>
        </is>
      </c>
      <c r="H39" s="22" t="inlineStr">
        <is>
          <t>Rendah</t>
        </is>
      </c>
      <c r="I39" s="5" t="inlineStr"/>
    </row>
    <row r="40" ht="62" customHeight="1">
      <c r="A40" s="9" t="n">
        <v>26</v>
      </c>
      <c r="B40" s="11" t="inlineStr">
        <is>
          <t>“Siap, salah.”</t>
        </is>
      </c>
      <c r="C40" s="9" t="inlineStr">
        <is>
          <t>Frasa kantor</t>
        </is>
      </c>
      <c r="D40" s="5" t="inlineStr">
        <is>
          <t>Jawaban pasrah saat ditegur.</t>
        </is>
      </c>
      <c r="E40" s="5" t="inlineStr">
        <is>
          <t>“RoPA-nya mana?” — “Siap, salah.”</t>
        </is>
      </c>
      <c r="F40" s="5" t="inlineStr">
        <is>
          <t>RoPA</t>
        </is>
      </c>
      <c r="G40" s="5" t="inlineStr">
        <is>
          <t>Teks + suara tim</t>
        </is>
      </c>
      <c r="H40" s="22" t="inlineStr">
        <is>
          <t>Rendah</t>
        </is>
      </c>
      <c r="I40" s="5" t="inlineStr"/>
    </row>
    <row r="41" ht="62" customHeight="1">
      <c r="A41" s="9" t="n">
        <v>27</v>
      </c>
      <c r="B41" s="11" t="inlineStr">
        <is>
          <t>“Final ya, ini final.”</t>
        </is>
      </c>
      <c r="C41" s="9" t="inlineStr">
        <is>
          <t>Frasa kantor</t>
        </is>
      </c>
      <c r="D41" s="5" t="inlineStr">
        <is>
          <t>Kalimat sebelum revisi berikutnya.</t>
        </is>
      </c>
      <c r="E41" s="5" t="inlineStr">
        <is>
          <t>“Final ya, ini final.” → RoPA_final_revisi3_FIX.xlsx</t>
        </is>
      </c>
      <c r="F41" s="5" t="inlineStr">
        <is>
          <t>RoPA</t>
        </is>
      </c>
      <c r="G41" s="5" t="inlineStr">
        <is>
          <t>Teks + suara tim</t>
        </is>
      </c>
      <c r="H41" s="22" t="inlineStr">
        <is>
          <t>Rendah</t>
        </is>
      </c>
      <c r="I41" s="5" t="inlineStr"/>
    </row>
    <row r="42" ht="62" customHeight="1">
      <c r="A42" s="9" t="n">
        <v>28</v>
      </c>
      <c r="B42" s="11" t="inlineStr">
        <is>
          <t>“FAAAH!” (suara)</t>
        </is>
      </c>
      <c r="C42" s="9" t="inlineStr">
        <is>
          <t>Suara meme</t>
        </is>
      </c>
      <c r="D42" s="5" t="inlineStr">
        <is>
          <t>Suara gagal total yang populer di video meme.</t>
        </is>
      </c>
      <c r="E42" s="5" t="inlineStr">
        <is>
          <t>File RoPA “dikunci pengguna lain” → FAAAH.</t>
        </is>
      </c>
      <c r="F42" s="5" t="inlineStr">
        <is>
          <t>RoPA</t>
        </is>
      </c>
      <c r="G42" s="5" t="inlineStr">
        <is>
          <t>Rekam ulang oleh tim ke motion/sfx-kustom/ atau TTS berlisensi</t>
        </is>
      </c>
      <c r="H42" s="22" t="inlineStr">
        <is>
          <t>Rendah</t>
        </is>
      </c>
      <c r="I42" s="5" t="inlineStr">
        <is>
          <t>Klip aslinya tidak dipakai (lihat sheet Bank Sound Meme).</t>
        </is>
      </c>
    </row>
    <row r="43" ht="62" customHeight="1">
      <c r="A43" s="9" t="n">
        <v>29</v>
      </c>
      <c r="B43" s="11" t="inlineStr">
        <is>
          <t>“HAH?” (suara)</t>
        </is>
      </c>
      <c r="C43" s="9" t="inlineStr">
        <is>
          <t>Suara meme</t>
        </is>
      </c>
      <c r="D43" s="5" t="inlineStr">
        <is>
          <t>Suara reaksi kaget/bingung.</t>
        </is>
      </c>
      <c r="E43" s="5" t="inlineStr">
        <is>
          <t>Marketing: “blast ke semua nomor ya!” → HAH?</t>
        </is>
      </c>
      <c r="F43" s="5" t="inlineStr">
        <is>
          <t>Consent &amp; Cookie</t>
        </is>
      </c>
      <c r="G43" s="5" t="inlineStr">
        <is>
          <t>Rekam ulang oleh tim</t>
        </is>
      </c>
      <c r="H43" s="22" t="inlineStr">
        <is>
          <t>Rendah</t>
        </is>
      </c>
      <c r="I43" s="5" t="inlineStr"/>
    </row>
    <row r="44" ht="62" customHeight="1">
      <c r="A44" s="9" t="n">
        <v>30</v>
      </c>
      <c r="B44" s="11" t="inlineStr">
        <is>
          <t>Pola “Ini yang harus kamu lakukan ketika…”</t>
        </is>
      </c>
      <c r="C44" s="9" t="inlineStr">
        <is>
          <t>Pola hook</t>
        </is>
      </c>
      <c r="D44" s="5" t="inlineStr">
        <is>
          <t>Pembuka video fakta unik (contoh acuan dari pengguna).</t>
        </is>
      </c>
      <c r="E44" s="5" t="inlineStr">
        <is>
          <t>“Ini yang harus kamu lakukan ketika dapat email ini!”</t>
        </is>
      </c>
      <c r="F44" s="5" t="inlineStr">
        <is>
          <t>DSR</t>
        </is>
      </c>
      <c r="G44" s="5" t="inlineStr">
        <is>
          <t>Pola kalimat bebas dipakai</t>
        </is>
      </c>
      <c r="H44" s="22" t="inlineStr">
        <is>
          <t>Rendah</t>
        </is>
      </c>
      <c r="I44" s="5" t="inlineStr">
        <is>
          <t>Lihat gaya SE23.</t>
        </is>
      </c>
    </row>
    <row r="45" ht="62" customHeight="1">
      <c r="A45" s="9" t="n">
        <v>31</v>
      </c>
      <c r="B45" s="11" t="inlineStr">
        <is>
          <t>Pola “Jangan … kalau …”</t>
        </is>
      </c>
      <c r="C45" s="9" t="inlineStr">
        <is>
          <t>Pola hook</t>
        </is>
      </c>
      <c r="D45" s="5" t="inlineStr">
        <is>
          <t>Reverse psychology.</t>
        </is>
      </c>
      <c r="E45" s="5" t="inlineStr">
        <is>
          <t>“Jangan cek skor kepatuhanmu kalau belum siap kaget.”</t>
        </is>
      </c>
      <c r="F45" s="5" t="inlineStr">
        <is>
          <t>GAP Assessment</t>
        </is>
      </c>
      <c r="G45" s="5" t="inlineStr">
        <is>
          <t>Pola kalimat bebas dipakai</t>
        </is>
      </c>
      <c r="H45" s="22" t="inlineStr">
        <is>
          <t>Rendah</t>
        </is>
      </c>
      <c r="I45" s="5" t="inlineStr">
        <is>
          <t>Sudah dipakai di M02, T02.</t>
        </is>
      </c>
    </row>
    <row r="46" ht="62" customHeight="1">
      <c r="A46" s="9" t="n">
        <v>32</v>
      </c>
      <c r="B46" s="11" t="inlineStr">
        <is>
          <t>Pola “POV:” / “Nobody:”</t>
        </is>
      </c>
      <c r="C46" s="9" t="inlineStr">
        <is>
          <t>Pola hook</t>
        </is>
      </c>
      <c r="D46" s="5" t="inlineStr">
        <is>
          <t>Format meme teks.</t>
        </is>
      </c>
      <c r="E46" s="5" t="inlineStr">
        <is>
          <t>“POV: auditor minta RoPA.”</t>
        </is>
      </c>
      <c r="F46" s="5" t="inlineStr">
        <is>
          <t>RoPA</t>
        </is>
      </c>
      <c r="G46" s="5" t="inlineStr">
        <is>
          <t>Pola kalimat bebas dipakai</t>
        </is>
      </c>
      <c r="H46" s="22" t="inlineStr">
        <is>
          <t>Rendah</t>
        </is>
      </c>
      <c r="I46" s="5" t="inlineStr">
        <is>
          <t>Lihat A01, A09.</t>
        </is>
      </c>
    </row>
    <row r="47" ht="62" customHeight="1">
      <c r="A47" s="9" t="n">
        <v>33</v>
      </c>
      <c r="B47" s="11" t="inlineStr">
        <is>
          <t>Pola “Ketika … tanya …”</t>
        </is>
      </c>
      <c r="C47" s="9" t="inlineStr">
        <is>
          <t>Pola hook</t>
        </is>
      </c>
      <c r="D47" s="5" t="inlineStr">
        <is>
          <t>Pertanyaan serius dijawab frasa viral.</t>
        </is>
      </c>
      <c r="E47" s="5" t="inlineStr">
        <is>
          <t>“Ketika direksi tanya: ‘kita sudah patuh?’”</t>
        </is>
      </c>
      <c r="F47" s="5" t="inlineStr">
        <is>
          <t>GAP Assessment</t>
        </is>
      </c>
      <c r="G47" s="5" t="inlineStr">
        <is>
          <t>Pola kalimat bebas dipakai</t>
        </is>
      </c>
      <c r="H47" s="22" t="inlineStr">
        <is>
          <t>Rendah</t>
        </is>
      </c>
      <c r="I47" s="5" t="inlineStr">
        <is>
          <t>Lihat gaya SE24.</t>
        </is>
      </c>
    </row>
  </sheetData>
  <autoFilter ref="A14:I47"/>
  <mergeCells count="9">
    <mergeCell ref="A7:I7"/>
    <mergeCell ref="A2:I2"/>
    <mergeCell ref="A11:I11"/>
    <mergeCell ref="A10:I10"/>
    <mergeCell ref="A5:I5"/>
    <mergeCell ref="A9:I9"/>
    <mergeCell ref="A8:I8"/>
    <mergeCell ref="A6:I6"/>
    <mergeCell ref="A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20" customWidth="1" min="3" max="3"/>
    <col width="30" customWidth="1" min="4" max="4"/>
    <col width="38" customWidth="1" min="5" max="5"/>
    <col width="36" customWidth="1" min="6" max="6"/>
    <col width="30" customWidth="1" min="7" max="7"/>
    <col width="46" customWidth="1" min="8" max="8"/>
    <col width="16" customWidth="1" min="9" max="9"/>
    <col width="14" customWidth="1" min="10" max="10"/>
  </cols>
  <sheetData>
    <row r="1">
      <c r="A1" s="10" t="inlineStr">
        <is>
          <t>Flow unggulan: Perjalanan Satu Data (semua modul Privasimu Nexus)</t>
        </is>
      </c>
    </row>
    <row r="2" ht="46" customHeight="1">
      <c r="A2" s="2" t="inlineStr">
        <is>
          <t>Durasi ± 3:00 (versi potong 60 dtk &amp; 30 dtk ditandai) · Jenis hook: Reverse psychology → Anomali · Hook: "Jangan tonton video ini… kalau perusahaanmu tidak menyimpan satu pun nama, nomor HP, atau email pelanggan." → "Masih di sini? Berarti ini tentang kamu."
Catatan: Tokoh "Rina" &amp; datanya FIKTIF: tampilkan keterangan "ilustrasi". Musik: dari tegang (hook) → hangat (perjalanan) → megah (penutup). VO 1 narator + suara Rina (opsional).</t>
        </is>
      </c>
    </row>
    <row r="4" ht="34" customHeight="1">
      <c r="A4" s="3" t="inlineStr">
        <is>
          <t>#</t>
        </is>
      </c>
      <c r="B4" s="3" t="inlineStr">
        <is>
          <t>Waktu</t>
        </is>
      </c>
      <c r="C4" s="3" t="inlineStr">
        <is>
          <t>Bab</t>
        </is>
      </c>
      <c r="D4" s="3" t="inlineStr">
        <is>
          <t>Visual</t>
        </is>
      </c>
      <c r="E4" s="3" t="inlineStr">
        <is>
          <t>Screenshot (path dari D:\AI\privasimu)</t>
        </is>
      </c>
      <c r="F4" s="3" t="inlineStr">
        <is>
          <t>Crop / sorot / blur</t>
        </is>
      </c>
      <c r="G4" s="3" t="inlineStr">
        <is>
          <t>Teks layar</t>
        </is>
      </c>
      <c r="H4" s="3" t="inlineStr">
        <is>
          <t>VO</t>
        </is>
      </c>
      <c r="I4" s="3" t="inlineStr">
        <is>
          <t>SFX / musik</t>
        </is>
      </c>
      <c r="J4" s="3" t="inlineStr">
        <is>
          <t>Masuk versi (dtk)</t>
        </is>
      </c>
    </row>
    <row r="5" ht="62" customHeight="1">
      <c r="A5" s="29" t="n">
        <v>1</v>
      </c>
      <c r="B5" s="29" t="inlineStr">
        <is>
          <t>0:00–0:05</t>
        </is>
      </c>
      <c r="C5" s="31" t="inlineStr">
        <is>
          <t>Hook</t>
        </is>
      </c>
      <c r="D5" s="30" t="inlineStr">
        <is>
          <t>Layar hitam, teks putih diketik</t>
        </is>
      </c>
      <c r="E5" s="30" t="inlineStr">
        <is>
          <t>—</t>
        </is>
      </c>
      <c r="F5" s="30" t="inlineStr">
        <is>
          <t>—</t>
        </is>
      </c>
      <c r="G5" s="30" t="inlineStr">
        <is>
          <t>Jangan tonton video ini…</t>
        </is>
      </c>
      <c r="H5" s="30" t="inlineStr">
        <is>
          <t>Jangan tonton video ini…</t>
        </is>
      </c>
      <c r="I5" s="30" t="inlineStr">
        <is>
          <t>record scratch, hening</t>
        </is>
      </c>
      <c r="J5" s="29" t="inlineStr">
        <is>
          <t>180 · 60 · 30</t>
        </is>
      </c>
    </row>
    <row r="6" ht="62" customHeight="1">
      <c r="A6" s="29" t="n">
        <v>2</v>
      </c>
      <c r="B6" s="29" t="inlineStr">
        <is>
          <t>0:05–0:10</t>
        </is>
      </c>
      <c r="C6" s="31" t="inlineStr">
        <is>
          <t>Hook</t>
        </is>
      </c>
      <c r="D6" s="30" t="inlineStr">
        <is>
          <t>Ikon kontak, HP, email beterbangan</t>
        </is>
      </c>
      <c r="E6" s="30" t="inlineStr">
        <is>
          <t>—</t>
        </is>
      </c>
      <c r="F6" s="30" t="inlineStr">
        <is>
          <t>—</t>
        </is>
      </c>
      <c r="G6" s="30" t="inlineStr">
        <is>
          <t>…kalau perusahaanmu tidak menyimpan satu pun data pelanggan.</t>
        </is>
      </c>
      <c r="H6" s="30" t="inlineStr">
        <is>
          <t>…kalau perusahaanmu tidak menyimpan satu pun nama, nomor HP, atau email pelanggan.</t>
        </is>
      </c>
      <c r="I6" s="30" t="inlineStr">
        <is>
          <t>whoosh</t>
        </is>
      </c>
      <c r="J6" s="29" t="inlineStr">
        <is>
          <t>180 · 60 · 30</t>
        </is>
      </c>
    </row>
    <row r="7" ht="62" customHeight="1">
      <c r="A7" s="29" t="n">
        <v>3</v>
      </c>
      <c r="B7" s="29" t="inlineStr">
        <is>
          <t>0:10–0:14</t>
        </is>
      </c>
      <c r="C7" s="31" t="inlineStr">
        <is>
          <t>Hook</t>
        </is>
      </c>
      <c r="D7" s="30" t="inlineStr">
        <is>
          <t>Ikon-ikon berhenti, zoom ke penonton</t>
        </is>
      </c>
      <c r="E7" s="30" t="inlineStr">
        <is>
          <t>—</t>
        </is>
      </c>
      <c r="F7" s="30" t="inlineStr">
        <is>
          <t>—</t>
        </is>
      </c>
      <c r="G7" s="30" t="inlineStr">
        <is>
          <t>Masih di sini? Berarti ini tentang kamu.</t>
        </is>
      </c>
      <c r="H7" s="30" t="inlineStr">
        <is>
          <t>Masih di sini? Berarti ini tentang kamu.</t>
        </is>
      </c>
      <c r="I7" s="30" t="inlineStr">
        <is>
          <t>vine boom</t>
        </is>
      </c>
      <c r="J7" s="29" t="inlineStr">
        <is>
          <t>180 · 60 · 30</t>
        </is>
      </c>
    </row>
    <row r="8" ht="62" customHeight="1">
      <c r="A8" s="9" t="n">
        <v>4</v>
      </c>
      <c r="B8" s="9" t="inlineStr">
        <is>
          <t>0:14–0:20</t>
        </is>
      </c>
      <c r="C8" s="11" t="inlineStr">
        <is>
          <t>Taruhannya</t>
        </is>
      </c>
      <c r="D8" s="5" t="inlineStr">
        <is>
          <t>Kalender dibalik ke 16 Jan 2027</t>
        </is>
      </c>
      <c r="E8" s="5" t="inlineStr">
        <is>
          <t>—</t>
        </is>
      </c>
      <c r="F8" s="5" t="inlineStr">
        <is>
          <t>—</t>
        </is>
      </c>
      <c r="G8" s="5" t="inlineStr">
        <is>
          <t>PP 33/2026 berlaku 16 Januari 2027</t>
        </is>
      </c>
      <c r="H8" s="5" t="inlineStr">
        <is>
          <t>Undang-undangnya sudah ada. Aturan pelaksananya, PP tiga puluh tiga, berlaku enam belas Januari dua ribu dua puluh tujuh.</t>
        </is>
      </c>
      <c r="I8" s="5" t="inlineStr">
        <is>
          <t>flip clock</t>
        </is>
      </c>
      <c r="J8" s="9" t="inlineStr">
        <is>
          <t>180 · 60</t>
        </is>
      </c>
    </row>
    <row r="9" ht="62" customHeight="1">
      <c r="A9" s="19" t="n">
        <v>5</v>
      </c>
      <c r="B9" s="19" t="inlineStr">
        <is>
          <t>0:20–0:26</t>
        </is>
      </c>
      <c r="C9" s="21" t="inlineStr">
        <is>
          <t>Taruhannya</t>
        </is>
      </c>
      <c r="D9" s="20" t="inlineStr">
        <is>
          <t>Angka 2% membesar</t>
        </is>
      </c>
      <c r="E9" s="20" t="inlineStr">
        <is>
          <t>—</t>
        </is>
      </c>
      <c r="F9" s="20" t="inlineStr">
        <is>
          <t>—</t>
        </is>
      </c>
      <c r="G9" s="20" t="inlineStr">
        <is>
          <t>Sanksi hingga 2% pendapatan tahunan</t>
        </is>
      </c>
      <c r="H9" s="20" t="inlineStr">
        <is>
          <t>Sanksi administratifnya bisa sampai dua persen dari pendapatan tahunan.</t>
        </is>
      </c>
      <c r="I9" s="20" t="inlineStr">
        <is>
          <t>dun dun dun</t>
        </is>
      </c>
      <c r="J9" s="19" t="inlineStr">
        <is>
          <t>180 · 60</t>
        </is>
      </c>
    </row>
    <row r="10" ht="62" customHeight="1">
      <c r="A10" s="9" t="n">
        <v>6</v>
      </c>
      <c r="B10" s="9" t="inlineStr">
        <is>
          <t>0:26–0:32</t>
        </is>
      </c>
      <c r="C10" s="11" t="inlineStr">
        <is>
          <t>Perkenalan</t>
        </is>
      </c>
      <c r="D10" s="5" t="inlineStr">
        <is>
          <t>Kartu profil "Rina, 29, pelanggan" (ilustrasi)</t>
        </is>
      </c>
      <c r="E10" s="5" t="inlineStr">
        <is>
          <t>—</t>
        </is>
      </c>
      <c r="F10" s="5" t="inlineStr">
        <is>
          <t>—</t>
        </is>
      </c>
      <c r="G10" s="5" t="inlineStr">
        <is>
          <t>Ikuti perjalanan satu data: Rina</t>
        </is>
      </c>
      <c r="H10" s="5" t="inlineStr">
        <is>
          <t>Mari ikuti perjalanan satu data pelanggan. Namanya Rina.</t>
        </is>
      </c>
      <c r="I10" s="5" t="inlineStr">
        <is>
          <t>musik hangat masuk</t>
        </is>
      </c>
      <c r="J10" s="9" t="inlineStr">
        <is>
          <t>180 · 60</t>
        </is>
      </c>
    </row>
    <row r="11" ht="62" customHeight="1">
      <c r="A11" s="19" t="n">
        <v>7</v>
      </c>
      <c r="B11" s="19" t="inlineStr">
        <is>
          <t>0:32–0:40</t>
        </is>
      </c>
      <c r="C11" s="21" t="inlineStr">
        <is>
          <t>Bab 1 · Rina mendaftar</t>
        </is>
      </c>
      <c r="D11" s="20" t="inlineStr">
        <is>
          <t>Collection point persetujuan</t>
        </is>
      </c>
      <c r="E11" s="20" t="inlineStr">
        <is>
          <t>dataroom/03-tenant/consent/01-overview.png</t>
        </is>
      </c>
      <c r="F11" s="20" t="inlineStr">
        <is>
          <t>Crop [262,40,1002,560]; BLUR kolom Domain; Blur blok user sidebar [0,470,262,140] atau crop mulai x=262</t>
        </is>
      </c>
      <c r="G11" s="20" t="inlineStr">
        <is>
          <t>Persetujuan + bukti</t>
        </is>
      </c>
      <c r="H11" s="20" t="inlineStr">
        <is>
          <t>Rina mendaftar di aplikasimu dan klik setuju. Di Nexus, persetujuan itu tersimpan beserta buktinya.</t>
        </is>
      </c>
      <c r="I11" s="20" t="inlineStr">
        <is>
          <t>klik + ding</t>
        </is>
      </c>
      <c r="J11" s="19" t="inlineStr">
        <is>
          <t>180 · 60</t>
        </is>
      </c>
    </row>
    <row r="12" ht="62" customHeight="1">
      <c r="A12" s="9" t="n">
        <v>8</v>
      </c>
      <c r="B12" s="9" t="inlineStr">
        <is>
          <t>0:40–0:45</t>
        </is>
      </c>
      <c r="C12" s="11" t="inlineStr">
        <is>
          <t>Bab 1</t>
        </is>
      </c>
      <c r="D12" s="5" t="inlineStr">
        <is>
          <t>Integrasi consent</t>
        </is>
      </c>
      <c r="E12" s="5" t="inlineStr">
        <is>
          <t>motion/assets/app/consent-detail.png</t>
        </is>
      </c>
      <c r="F12" s="5" t="inlineStr">
        <is>
          <t>Siap pakai; sorot API &amp; Webhook</t>
        </is>
      </c>
      <c r="G12" s="5" t="inlineStr">
        <is>
          <t>Penarikan menyebar ke semua sistem</t>
        </is>
      </c>
      <c r="H12" s="5" t="inlineStr">
        <is>
          <t>Kalau Rina berubah pikiran, penarikannya sampai ke semua sistem.</t>
        </is>
      </c>
      <c r="I12" s="5" t="inlineStr">
        <is>
          <t>sweep</t>
        </is>
      </c>
      <c r="J12" s="9" t="inlineStr">
        <is>
          <t>180</t>
        </is>
      </c>
    </row>
    <row r="13" ht="62" customHeight="1">
      <c r="A13" s="19" t="n">
        <v>9</v>
      </c>
      <c r="B13" s="19" t="inlineStr">
        <is>
          <t>0:45–0:50</t>
        </is>
      </c>
      <c r="C13" s="21" t="inlineStr">
        <is>
          <t>Bab 1</t>
        </is>
      </c>
      <c r="D13" s="20" t="inlineStr">
        <is>
          <t>Layar terbagi: Children Pro | Inclusive Privacy</t>
        </is>
      </c>
      <c r="E13" s="20" t="inlineStr">
        <is>
          <t>motion/assets/app/children-pro.png + motion/assets/app/inclusive-privacy.png</t>
        </is>
      </c>
      <c r="F13" s="20" t="inlineStr">
        <is>
          <t>Siap pakai</t>
        </is>
      </c>
      <c r="G13" s="20" t="inlineStr">
        <is>
          <t>Wali untuk anak · aksesibel untuk semua</t>
        </is>
      </c>
      <c r="H13" s="20" t="inlineStr">
        <is>
          <t>Untuk pengguna anak, persetujuan wali. Untuk penyandang disabilitas, persetujuan yang aksesibel.</t>
        </is>
      </c>
      <c r="I13" s="20" t="inlineStr">
        <is>
          <t>pop ×2</t>
        </is>
      </c>
      <c r="J13" s="19" t="inlineStr">
        <is>
          <t>180</t>
        </is>
      </c>
    </row>
    <row r="14" ht="62" customHeight="1">
      <c r="A14" s="9" t="n">
        <v>10</v>
      </c>
      <c r="B14" s="9" t="inlineStr">
        <is>
          <t>0:50–0:57</t>
        </is>
      </c>
      <c r="C14" s="11" t="inlineStr">
        <is>
          <t>Bab 2 · Datanya dicatat</t>
        </is>
      </c>
      <c r="D14" s="5" t="inlineStr">
        <is>
          <t>Daftar data spesifik</t>
        </is>
      </c>
      <c r="E14" s="5" t="inlineStr">
        <is>
          <t>motion/assets/app/ropa-data-spesifik.png</t>
        </is>
      </c>
      <c r="F14" s="5" t="inlineStr">
        <is>
          <t>Siap pakai; sorot data spesifik</t>
        </is>
      </c>
      <c r="G14" s="5" t="inlineStr">
        <is>
          <t>RoPA · data spesifik → TINGGI</t>
        </is>
      </c>
      <c r="H14" s="5" t="inlineStr">
        <is>
          <t>Setiap pemrosesan data Rina dicatat di RoPA. Ada data spesifik? Risikonya otomatis ditandai tinggi.</t>
        </is>
      </c>
      <c r="I14" s="5" t="inlineStr">
        <is>
          <t>alarm ringan</t>
        </is>
      </c>
      <c r="J14" s="9" t="inlineStr">
        <is>
          <t>180 · 60</t>
        </is>
      </c>
    </row>
    <row r="15" ht="62" customHeight="1">
      <c r="A15" s="19" t="n">
        <v>11</v>
      </c>
      <c r="B15" s="19" t="inlineStr">
        <is>
          <t>0:57–1:04</t>
        </is>
      </c>
      <c r="C15" s="21" t="inlineStr">
        <is>
          <t>Bab 2</t>
        </is>
      </c>
      <c r="D15" s="20" t="inlineStr">
        <is>
          <t>Unggah dokumen lama</t>
        </is>
      </c>
      <c r="E15" s="20" t="inlineStr">
        <is>
          <t>dataroom/03-tenant/document-import/01-overview.png</t>
        </is>
      </c>
      <c r="F15" s="20" t="inlineStr">
        <is>
          <t>Crop [262,40,1002,420]; Blur blok user sidebar [0,470,262,140] atau crop mulai x=262</t>
        </is>
      </c>
      <c r="G15" s="20" t="inlineStr">
        <is>
          <t>Dokumen lama? Impor dengan AI</t>
        </is>
      </c>
      <c r="H15" s="20" t="inlineStr">
        <is>
          <t>Catatan lama di Word atau Excel? Diimpor dengan AI, tidak perlu diketik ulang.</t>
        </is>
      </c>
      <c r="I15" s="20" t="inlineStr">
        <is>
          <t>key → stop</t>
        </is>
      </c>
      <c r="J15" s="19" t="inlineStr">
        <is>
          <t>180</t>
        </is>
      </c>
    </row>
    <row r="16" ht="62" customHeight="1">
      <c r="A16" s="9" t="n">
        <v>12</v>
      </c>
      <c r="B16" s="9" t="inlineStr">
        <is>
          <t>1:04–1:11</t>
        </is>
      </c>
      <c r="C16" s="11" t="inlineStr">
        <is>
          <t>Bab 3 · Datanya dinilai</t>
        </is>
      </c>
      <c r="D16" s="5" t="inlineStr">
        <is>
          <t>Wizard risiko DPIA</t>
        </is>
      </c>
      <c r="E16" s="5" t="inlineStr">
        <is>
          <t>motion/assets/app/dpia-risiko.png</t>
        </is>
      </c>
      <c r="F16" s="5" t="inlineStr">
        <is>
          <t>Siap pakai</t>
        </is>
      </c>
      <c r="G16" s="5" t="inlineStr">
        <is>
          <t>DPIA · matriks 5×5</t>
        </is>
      </c>
      <c r="H16" s="5" t="inlineStr">
        <is>
          <t>Pemrosesan berisiko tinggi dinilai lewat DPIA, dengan matriks lima kali lima.</t>
        </is>
      </c>
      <c r="I16" s="5" t="inlineStr">
        <is>
          <t>pop</t>
        </is>
      </c>
      <c r="J16" s="9" t="inlineStr">
        <is>
          <t>180 · 60</t>
        </is>
      </c>
    </row>
    <row r="17" ht="62" customHeight="1">
      <c r="A17" s="19" t="n">
        <v>13</v>
      </c>
      <c r="B17" s="19" t="inlineStr">
        <is>
          <t>1:11–1:18</t>
        </is>
      </c>
      <c r="C17" s="21" t="inlineStr">
        <is>
          <t>Bab 3</t>
        </is>
      </c>
      <c r="D17" s="20" t="inlineStr">
        <is>
          <t>Risk Treatment Plan</t>
        </is>
      </c>
      <c r="E17" s="20" t="inlineStr">
        <is>
          <t>dataroom/03-tenant/risk-treatment-plan/01-overview.png</t>
        </is>
      </c>
      <c r="F17" s="20" t="inlineStr">
        <is>
          <t>Crop [262,40,1002,700]; BLUR kolom Owner; Blur blok user sidebar [0,470,262,140] atau crop mulai x=262</t>
        </is>
      </c>
      <c r="G17" s="20" t="inlineStr">
        <is>
          <t>Mitigasi terpantau · LIA untuk kepentingan sah</t>
        </is>
      </c>
      <c r="H17" s="20" t="inlineStr">
        <is>
          <t>Mitigasinya dipantau sampai tuntas. Pakai dasar kepentingan yang sah? Timbang dulu lewat LIA.</t>
        </is>
      </c>
      <c r="I17" s="20" t="inlineStr">
        <is>
          <t>check</t>
        </is>
      </c>
      <c r="J17" s="19" t="inlineStr">
        <is>
          <t>180</t>
        </is>
      </c>
    </row>
    <row r="18" ht="62" customHeight="1">
      <c r="A18" s="9" t="n">
        <v>14</v>
      </c>
      <c r="B18" s="9" t="inlineStr">
        <is>
          <t>1:18–1:25</t>
        </is>
      </c>
      <c r="C18" s="11" t="inlineStr">
        <is>
          <t>Bab 4 · Datanya dicari &amp; dijaga</t>
        </is>
      </c>
      <c r="D18" s="5" t="inlineStr">
        <is>
          <t>Katalog Data Discovery</t>
        </is>
      </c>
      <c r="E18" s="5" t="inlineStr">
        <is>
          <t>dataroom/03-tenant/data-discovery/01-overview.png</t>
        </is>
      </c>
      <c r="F18" s="5" t="inlineStr">
        <is>
          <t>Crop [262,40,1260,620]; Blur blok user sidebar [0,470,262,140] atau crop mulai x=262</t>
        </is>
      </c>
      <c r="G18" s="5" t="inlineStr">
        <is>
          <t>Data Rina ada di banyak sistem</t>
        </is>
      </c>
      <c r="H18" s="5" t="inlineStr">
        <is>
          <t>Data Rina ternyata tersebar di banyak sistem. Data Discovery menemukannya.</t>
        </is>
      </c>
      <c r="I18" s="5" t="inlineStr">
        <is>
          <t>sweep</t>
        </is>
      </c>
      <c r="J18" s="9" t="inlineStr">
        <is>
          <t>180</t>
        </is>
      </c>
    </row>
    <row r="19" ht="62" customHeight="1">
      <c r="A19" s="19" t="n">
        <v>15</v>
      </c>
      <c r="B19" s="19" t="inlineStr">
        <is>
          <t>1:25–1:32</t>
        </is>
      </c>
      <c r="C19" s="21" t="inlineStr">
        <is>
          <t>Bab 4</t>
        </is>
      </c>
      <c r="D19" s="20" t="inlineStr">
        <is>
          <t>Privacy Posture Score</t>
        </is>
      </c>
      <c r="E19" s="20" t="inlineStr">
        <is>
          <t>frontend/tmp/audit4/security.png</t>
        </is>
      </c>
      <c r="F19" s="20" t="inlineStr">
        <is>
          <t>Crop [200,40,1240,820]; Blur nama org [300,22,200,26]; buang sidebar (x&lt;200)</t>
        </is>
      </c>
      <c r="G19" s="20" t="inlineStr">
        <is>
          <t>Postur: data · proses · respons</t>
        </is>
      </c>
      <c r="H19" s="20" t="inlineStr">
        <is>
          <t>Postur privasi organisasi dipantau dari tiga lapisan: data, proses, dan respons.</t>
        </is>
      </c>
      <c r="I19" s="20" t="inlineStr">
        <is>
          <t>ding</t>
        </is>
      </c>
      <c r="J19" s="19" t="inlineStr">
        <is>
          <t>180</t>
        </is>
      </c>
    </row>
    <row r="20" ht="62" customHeight="1">
      <c r="A20" s="9" t="n">
        <v>16</v>
      </c>
      <c r="B20" s="9" t="inlineStr">
        <is>
          <t>1:32–1:39</t>
        </is>
      </c>
      <c r="C20" s="11" t="inlineStr">
        <is>
          <t>Bab 5 · Datanya dibagi</t>
        </is>
      </c>
      <c r="D20" s="5" t="inlineStr">
        <is>
          <t>Detail pihak ketiga + skor AI</t>
        </is>
      </c>
      <c r="E20" s="5" t="inlineStr">
        <is>
          <t>dataroom/03-tenant/vendor-risk/07-detail-pihakketiga.png</t>
        </is>
      </c>
      <c r="F20" s="5" t="inlineStr">
        <is>
          <t>Crop modal [470,40,760,560]; BLUR Website</t>
        </is>
      </c>
      <c r="G20" s="5" t="inlineStr">
        <is>
          <t>Pihak ketiga dinilai</t>
        </is>
      </c>
      <c r="H20" s="5" t="inlineStr">
        <is>
          <t>Data Rina juga diproses pihak ketiga. Risikonya dinilai, lengkap dengan skor dari analisis AI.</t>
        </is>
      </c>
      <c r="I20" s="5" t="inlineStr">
        <is>
          <t>vineboom kecil</t>
        </is>
      </c>
      <c r="J20" s="9" t="inlineStr">
        <is>
          <t>180 · 60</t>
        </is>
      </c>
    </row>
    <row r="21" ht="62" customHeight="1">
      <c r="A21" s="19" t="n">
        <v>17</v>
      </c>
      <c r="B21" s="19" t="inlineStr">
        <is>
          <t>1:39–1:45</t>
        </is>
      </c>
      <c r="C21" s="21" t="inlineStr">
        <is>
          <t>Bab 5</t>
        </is>
      </c>
      <c r="D21" s="20" t="inlineStr">
        <is>
          <t>Register transfer lintas batas</t>
        </is>
      </c>
      <c r="E21" s="20" t="inlineStr">
        <is>
          <t>dataroom/03-tenant/cross-border/01-overview.png</t>
        </is>
      </c>
      <c r="F21" s="20" t="inlineStr">
        <is>
          <t>Crop [262,40,1002,640]; BLUR kolom Entitas Tujuan; Blur blok user sidebar [0,470,262,140] atau crop mulai x=262</t>
        </is>
      </c>
      <c r="G21" s="20" t="inlineStr">
        <is>
          <t>Ke luar negeri? Ada TIA</t>
        </is>
      </c>
      <c r="H21" s="20" t="inlineStr">
        <is>
          <t>Ada yang disimpan di luar negeri? Terdaftar, dan dinilai lewat TIA.</t>
        </is>
      </c>
      <c r="I21" s="20" t="inlineStr">
        <is>
          <t>sweep</t>
        </is>
      </c>
      <c r="J21" s="19" t="inlineStr">
        <is>
          <t>180</t>
        </is>
      </c>
    </row>
    <row r="22" ht="62" customHeight="1">
      <c r="A22" s="9" t="n">
        <v>18</v>
      </c>
      <c r="B22" s="9" t="inlineStr">
        <is>
          <t>1:45–1:50</t>
        </is>
      </c>
      <c r="C22" s="11" t="inlineStr">
        <is>
          <t>Bab 5</t>
        </is>
      </c>
      <c r="D22" s="5" t="inlineStr">
        <is>
          <t>Ringkasan telaah kontrak</t>
        </is>
      </c>
      <c r="E22" s="5" t="inlineStr">
        <is>
          <t>frontend/tmp/audit4/contract-review.png</t>
        </is>
      </c>
      <c r="F22" s="5" t="inlineStr">
        <is>
          <t>Crop [200,40,1240,520]; Blur nama org [300,22,200,26]; buang sidebar (x&lt;200)</t>
        </is>
      </c>
      <c r="G22" s="5" t="inlineStr">
        <is>
          <t>Kontrak ditelaah per pasal</t>
        </is>
      </c>
      <c r="H22" s="5" t="inlineStr">
        <is>
          <t>Kontrak dan perjanjian pemrosesan datanya ditelaah per pasal.</t>
        </is>
      </c>
      <c r="I22" s="5" t="inlineStr">
        <is>
          <t>pop</t>
        </is>
      </c>
      <c r="J22" s="9" t="inlineStr">
        <is>
          <t>180</t>
        </is>
      </c>
    </row>
    <row r="23" ht="62" customHeight="1">
      <c r="A23" s="19" t="n">
        <v>19</v>
      </c>
      <c r="B23" s="19" t="inlineStr">
        <is>
          <t>1:50–1:57</t>
        </is>
      </c>
      <c r="C23" s="21" t="inlineStr">
        <is>
          <t>Bab 6 · Rina minta dihapus</t>
        </is>
      </c>
      <c r="D23" s="20" t="inlineStr">
        <is>
          <t>Header DSR dengan tenggat</t>
        </is>
      </c>
      <c r="E23" s="20" t="inlineStr">
        <is>
          <t>motion/assets/app/dsr-detail.png</t>
        </is>
      </c>
      <c r="F23" s="20" t="inlineStr">
        <is>
          <t>Siap pakai; sorot "7h tersisa"</t>
        </is>
      </c>
      <c r="G23" s="20" t="inlineStr">
        <is>
          <t>Tenggat 72 jam otomatis</t>
        </is>
      </c>
      <c r="H23" s="20" t="inlineStr">
        <is>
          <t>Suatu hari, Rina minta datanya dihapus. Tenggat tujuh puluh dua jam langsung berjalan otomatis.</t>
        </is>
      </c>
      <c r="I23" s="20" t="inlineStr">
        <is>
          <t>notif + clock</t>
        </is>
      </c>
      <c r="J23" s="19" t="inlineStr">
        <is>
          <t>180 · 60 · 30</t>
        </is>
      </c>
    </row>
    <row r="24" ht="62" customHeight="1">
      <c r="A24" s="9" t="n">
        <v>20</v>
      </c>
      <c r="B24" s="9" t="inlineStr">
        <is>
          <t>1:57–2:04</t>
        </is>
      </c>
      <c r="C24" s="11" t="inlineStr">
        <is>
          <t>Bab 6</t>
        </is>
      </c>
      <c r="D24" s="5" t="inlineStr">
        <is>
          <t>Sertifikat penyelesaian</t>
        </is>
      </c>
      <c r="E24" s="5" t="inlineStr">
        <is>
          <t>dataroom/03-tenant/dsr/09-tab-certificates.png</t>
        </is>
      </c>
      <c r="F24" s="5" t="inlineStr">
        <is>
          <t>Crop [262,40,1002,420]; Blur blok user sidebar [0,470,262,140] atau crop mulai x=262</t>
        </is>
      </c>
      <c r="G24" s="5" t="inlineStr">
        <is>
          <t>Sertifikat otomatis</t>
        </is>
      </c>
      <c r="H24" s="5" t="inlineStr">
        <is>
          <t>Selesai? Sertifikat penyelesaian dibuat otomatis.</t>
        </is>
      </c>
      <c r="I24" s="5" t="inlineStr">
        <is>
          <t>correct</t>
        </is>
      </c>
      <c r="J24" s="9" t="inlineStr">
        <is>
          <t>180</t>
        </is>
      </c>
    </row>
    <row r="25" ht="62" customHeight="1">
      <c r="A25" s="19" t="n">
        <v>21</v>
      </c>
      <c r="B25" s="19" t="inlineStr">
        <is>
          <t>2:04–2:12</t>
        </is>
      </c>
      <c r="C25" s="21" t="inlineStr">
        <is>
          <t>Bab 7 · Jam 3 pagi</t>
        </is>
      </c>
      <c r="D25" s="20" t="inlineStr">
        <is>
          <t>Detail insiden + 5 fase</t>
        </is>
      </c>
      <c r="E25" s="20" t="inlineStr">
        <is>
          <t>motion/assets/app/breach-detail.png</t>
        </is>
      </c>
      <c r="F25" s="20" t="inlineStr">
        <is>
          <t>Siap pakai; sorot "Wajib Notifikasi" + stepper</t>
        </is>
      </c>
      <c r="G25" s="20" t="inlineStr">
        <is>
          <t>Alur 5 fase · 3×24 jam</t>
        </is>
      </c>
      <c r="H25" s="20" t="inlineStr">
        <is>
          <t>Lalu, jam tiga pagi, dugaan kebocoran. Alurnya sudah siap: lima fase, templat pemberitahuan, hitung mundur tiga kali dua puluh empat jam.</t>
        </is>
      </c>
      <c r="I25" s="20" t="inlineStr">
        <is>
          <t>alarm → tenang</t>
        </is>
      </c>
      <c r="J25" s="19" t="inlineStr">
        <is>
          <t>180 · 60 · 30</t>
        </is>
      </c>
    </row>
    <row r="26" ht="62" customHeight="1">
      <c r="A26" s="9" t="n">
        <v>22</v>
      </c>
      <c r="B26" s="9" t="inlineStr">
        <is>
          <t>2:12–2:20</t>
        </is>
      </c>
      <c r="C26" s="11" t="inlineStr">
        <is>
          <t>Bab 7</t>
        </is>
      </c>
      <c r="D26" s="5" t="inlineStr">
        <is>
          <t>Fire Drill</t>
        </is>
      </c>
      <c r="E26" s="5" t="inlineStr">
        <is>
          <t>dataroom/03-tenant/simulation/02-recheck.png</t>
        </is>
      </c>
      <c r="F26" s="5" t="inlineStr">
        <is>
          <t>Crop [262,40,1002,640]; buang kartu "Rata-rata skor"; BLUR kolom User</t>
        </is>
      </c>
      <c r="G26" s="5" t="inlineStr">
        <is>
          <t>Sudah pernah latihan</t>
        </is>
      </c>
      <c r="H26" s="5" t="inlineStr">
        <is>
          <t>Tim tidak panik, karena sudah pernah latihan lewat Fire Drill.</t>
        </is>
      </c>
      <c r="I26" s="5" t="inlineStr">
        <is>
          <t>check</t>
        </is>
      </c>
      <c r="J26" s="9" t="inlineStr">
        <is>
          <t>180</t>
        </is>
      </c>
    </row>
    <row r="27" ht="62" customHeight="1">
      <c r="A27" s="19" t="n">
        <v>23</v>
      </c>
      <c r="B27" s="19" t="inlineStr">
        <is>
          <t>2:20–2:27</t>
        </is>
      </c>
      <c r="C27" s="21" t="inlineStr">
        <is>
          <t>Bab 8 · Buktikan patuh</t>
        </is>
      </c>
      <c r="D27" s="20" t="inlineStr">
        <is>
          <t>Hasil GAP</t>
        </is>
      </c>
      <c r="E27" s="20" t="inlineStr">
        <is>
          <t>motion/assets/app/gap-hasil.png</t>
        </is>
      </c>
      <c r="F27" s="20" t="inlineStr">
        <is>
          <t>Siap pakai</t>
        </is>
      </c>
      <c r="G27" s="20" t="inlineStr">
        <is>
          <t>Skor &amp; rencana perbaikan siap</t>
        </is>
      </c>
      <c r="H27" s="20" t="inlineStr">
        <is>
          <t>Saat auditor bertanya, skor kepatuhan dan rencana perbaikannya sudah ada.</t>
        </is>
      </c>
      <c r="I27" s="20" t="inlineStr">
        <is>
          <t>ding</t>
        </is>
      </c>
      <c r="J27" s="19" t="inlineStr">
        <is>
          <t>180 · 60</t>
        </is>
      </c>
    </row>
    <row r="28" ht="62" customHeight="1">
      <c r="A28" s="9" t="n">
        <v>24</v>
      </c>
      <c r="B28" s="9" t="inlineStr">
        <is>
          <t>2:27–2:32</t>
        </is>
      </c>
      <c r="C28" s="11" t="inlineStr">
        <is>
          <t>Bab 8</t>
        </is>
      </c>
      <c r="D28" s="5" t="inlineStr">
        <is>
          <t>Telaah kebijakan</t>
        </is>
      </c>
      <c r="E28" s="5" t="inlineStr">
        <is>
          <t>motion/assets/app/policy-review.png</t>
        </is>
      </c>
      <c r="F28" s="5" t="inlineStr">
        <is>
          <t>Siap pakai</t>
        </is>
      </c>
      <c r="G28" s="5" t="inlineStr">
        <is>
          <t>Kebijakan ditelaah</t>
        </is>
      </c>
      <c r="H28" s="5" t="inlineStr">
        <is>
          <t>Kebijakan internal ditelaah terhadap UU PDP dan PP tiga puluh tiga.</t>
        </is>
      </c>
      <c r="I28" s="5" t="inlineStr">
        <is>
          <t>pop</t>
        </is>
      </c>
      <c r="J28" s="9" t="inlineStr">
        <is>
          <t>180</t>
        </is>
      </c>
    </row>
    <row r="29" ht="62" customHeight="1">
      <c r="A29" s="19" t="n">
        <v>25</v>
      </c>
      <c r="B29" s="19" t="inlineStr">
        <is>
          <t>2:32–2:36</t>
        </is>
      </c>
      <c r="C29" s="21" t="inlineStr">
        <is>
          <t>Bab 8</t>
        </is>
      </c>
      <c r="D29" s="20" t="inlineStr">
        <is>
          <t>Dasbor (+ kartu holding kecil)</t>
        </is>
      </c>
      <c r="E29" s="20" t="inlineStr">
        <is>
          <t>motion/assets/app/dashboard.png</t>
        </is>
      </c>
      <c r="F29" s="20" t="inlineStr">
        <is>
          <t>Siap pakai</t>
        </is>
      </c>
      <c r="G29" s="20" t="inlineStr">
        <is>
          <t>Satu dasbor, seluruh grup</t>
        </is>
      </c>
      <c r="H29" s="20" t="inlineStr">
        <is>
          <t>Semuanya terangkum di satu dasbor, bahkan untuk seluruh grup usaha.</t>
        </is>
      </c>
      <c r="I29" s="20" t="inlineStr">
        <is>
          <t>shimmer</t>
        </is>
      </c>
      <c r="J29" s="19" t="inlineStr">
        <is>
          <t>180</t>
        </is>
      </c>
    </row>
    <row r="30" ht="62" customHeight="1">
      <c r="A30" s="9" t="n">
        <v>26</v>
      </c>
      <c r="B30" s="9" t="inlineStr">
        <is>
          <t>2:36–2:41</t>
        </is>
      </c>
      <c r="C30" s="11" t="inlineStr">
        <is>
          <t>Bab 9 · Orangnya siap</t>
        </is>
      </c>
      <c r="D30" s="5" t="inlineStr">
        <is>
          <t>Kartu kursus Academy</t>
        </is>
      </c>
      <c r="E30" s="5" t="inlineStr">
        <is>
          <t>motion/assets/app/dpo-academy.png</t>
        </is>
      </c>
      <c r="F30" s="5" t="inlineStr">
        <is>
          <t>Siap pakai</t>
        </is>
      </c>
      <c r="G30" s="5" t="inlineStr">
        <is>
          <t>DPO belajar di Academy</t>
        </is>
      </c>
      <c r="H30" s="5" t="inlineStr">
        <is>
          <t>DPO-nya belajar di DPO Academy…</t>
        </is>
      </c>
      <c r="I30" s="5" t="inlineStr">
        <is>
          <t>levelup</t>
        </is>
      </c>
      <c r="J30" s="9" t="inlineStr">
        <is>
          <t>180</t>
        </is>
      </c>
    </row>
    <row r="31" ht="62" customHeight="1">
      <c r="A31" s="19" t="n">
        <v>27</v>
      </c>
      <c r="B31" s="19" t="inlineStr">
        <is>
          <t>2:41–2:46</t>
        </is>
      </c>
      <c r="C31" s="21" t="inlineStr">
        <is>
          <t>Bab 9</t>
        </is>
      </c>
      <c r="D31" s="20" t="inlineStr">
        <is>
          <t>Jawaban Priva</t>
        </is>
      </c>
      <c r="E31" s="20" t="inlineStr">
        <is>
          <t>motion/assets/app/ai-agent-chat.png</t>
        </is>
      </c>
      <c r="F31" s="20" t="inlineStr">
        <is>
          <t>Siap pakai</t>
        </is>
      </c>
      <c r="G31" s="20" t="inlineStr">
        <is>
          <t>Priva: tidak mengarang pasal</t>
        </is>
      </c>
      <c r="H31" s="20" t="inlineStr">
        <is>
          <t>…dan punya Priva, asisten AI yang menjawab dari knowledge base, bukan mengarang pasal.</t>
        </is>
      </c>
      <c r="I31" s="20" t="inlineStr">
        <is>
          <t>shimmer</t>
        </is>
      </c>
      <c r="J31" s="19" t="inlineStr">
        <is>
          <t>180</t>
        </is>
      </c>
    </row>
    <row r="32" ht="62" customHeight="1">
      <c r="A32" s="9" t="n">
        <v>28</v>
      </c>
      <c r="B32" s="9" t="inlineStr">
        <is>
          <t>2:46–2:53</t>
        </is>
      </c>
      <c r="C32" s="11" t="inlineStr">
        <is>
          <t>Bab 10 · Tidak sendirian</t>
        </is>
      </c>
      <c r="D32" s="5" t="inlineStr">
        <is>
          <t>Ilustrasi tim konsultan (tanpa wajah nyata tanpa izin)</t>
        </is>
      </c>
      <c r="E32" s="5" t="inlineStr">
        <is>
          <t>—</t>
        </is>
      </c>
      <c r="F32" s="5" t="inlineStr">
        <is>
          <t>—</t>
        </is>
      </c>
      <c r="G32" s="5" t="inlineStr">
        <is>
          <t>Didampingi konsultan sampai audit</t>
        </is>
      </c>
      <c r="H32" s="5" t="inlineStr">
        <is>
          <t>Di balik Nexus, ada konsultan Privasimu yang mendampingi sampai audit.</t>
        </is>
      </c>
      <c r="I32" s="5" t="inlineStr">
        <is>
          <t>musik megah</t>
        </is>
      </c>
      <c r="J32" s="9" t="inlineStr">
        <is>
          <t>180 · 60 · 30</t>
        </is>
      </c>
    </row>
    <row r="33" ht="62" customHeight="1">
      <c r="A33" s="28" t="n">
        <v>29</v>
      </c>
      <c r="B33" s="28" t="inlineStr">
        <is>
          <t>2:53–3:00</t>
        </is>
      </c>
      <c r="C33" s="37" t="inlineStr">
        <is>
          <t>CTA</t>
        </is>
      </c>
      <c r="D33" s="38" t="inlineStr">
        <is>
          <t>Logo + tombol + kontak</t>
        </is>
      </c>
      <c r="E33" s="38" t="inlineStr">
        <is>
          <t>—</t>
        </is>
      </c>
      <c r="F33" s="38" t="inlineStr">
        <is>
          <t>—</t>
        </is>
      </c>
      <c r="G33" s="38" t="inlineStr">
        <is>
          <t>Data Rina aman. Data pelangganmu? · Start Pre Check (gratis)</t>
        </is>
      </c>
      <c r="H33" s="38" t="inlineStr">
        <is>
          <t>Data Rina aman. Data pelangganmu? Mulai dari Start Pre Check gratis di privasimu dot com.</t>
        </is>
      </c>
      <c r="I33" s="38" t="inlineStr">
        <is>
          <t>sonic logo</t>
        </is>
      </c>
      <c r="J33" s="28" t="inlineStr">
        <is>
          <t>180 · 60 · 30</t>
        </is>
      </c>
    </row>
  </sheetData>
  <autoFilter ref="A4:J33"/>
  <mergeCells count="1"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30" customWidth="1" min="3" max="3"/>
    <col width="9" customWidth="1" min="4" max="4"/>
    <col width="16" customWidth="1" min="5" max="5"/>
    <col width="44" customWidth="1" min="6" max="6"/>
    <col width="24" customWidth="1" min="7" max="7"/>
    <col width="18" customWidth="1" min="8" max="8"/>
    <col width="32" customWidth="1" min="9" max="9"/>
    <col width="30" customWidth="1" min="10" max="10"/>
    <col width="44" customWidth="1" min="11" max="11"/>
    <col width="22" customWidth="1" min="12" max="12"/>
    <col width="8" customWidth="1" min="13" max="13"/>
  </cols>
  <sheetData>
    <row r="1">
      <c r="A1" s="10" t="inlineStr">
        <is>
          <t>Daftar video modul (22 video)</t>
        </is>
      </c>
    </row>
    <row r="2" ht="46" customHeight="1">
      <c r="A2" s="2" t="inlineStr">
        <is>
          <t>Ringkasan setiap video modul. Klik kode untuk melompat ke flow-nya. Status screenshot: Siap / Perlu blur / PERLU SCREENSHOT BARU.</t>
        </is>
      </c>
    </row>
    <row r="4" ht="34" customHeight="1">
      <c r="A4" s="3" t="inlineStr">
        <is>
          <t>Kode</t>
        </is>
      </c>
      <c r="B4" s="3" t="inlineStr">
        <is>
          <t>Modul</t>
        </is>
      </c>
      <c r="C4" s="3" t="inlineStr">
        <is>
          <t>Judul</t>
        </is>
      </c>
      <c r="D4" s="3" t="inlineStr">
        <is>
          <t>Durasi</t>
        </is>
      </c>
      <c r="E4" s="3" t="inlineStr">
        <is>
          <t>Jenis hook</t>
        </is>
      </c>
      <c r="F4" s="3" t="inlineStr">
        <is>
          <t>Hook (kalimat pembuka)</t>
        </is>
      </c>
      <c r="G4" s="3" t="inlineStr">
        <is>
          <t>Target</t>
        </is>
      </c>
      <c r="H4" s="3" t="inlineStr">
        <is>
          <t>Nada</t>
        </is>
      </c>
      <c r="I4" s="3" t="inlineStr">
        <is>
          <t>Pesan utama</t>
        </is>
      </c>
      <c r="J4" s="3" t="inlineStr">
        <is>
          <t>CTA</t>
        </is>
      </c>
      <c r="K4" s="3" t="inlineStr">
        <is>
          <t>Dasar fakta / klaim</t>
        </is>
      </c>
      <c r="L4" s="3" t="inlineStr">
        <is>
          <t>Status screenshot</t>
        </is>
      </c>
      <c r="M4" s="3" t="inlineStr">
        <is>
          <t>Adegan</t>
        </is>
      </c>
    </row>
    <row r="5" ht="70" customHeight="1">
      <c r="A5" s="39" t="inlineStr">
        <is>
          <t>M01</t>
        </is>
      </c>
      <c r="B5" s="11" t="inlineStr">
        <is>
          <t>Dasbor Kepatuhan &amp; Postur Privasi</t>
        </is>
      </c>
      <c r="C5" s="5" t="inlineStr">
        <is>
          <t>Laporan terbaik bukan yang paling tebal</t>
        </is>
      </c>
      <c r="D5" s="9" t="inlineStr">
        <is>
          <t>50 dtk</t>
        </is>
      </c>
      <c r="E5" s="9" t="inlineStr">
        <is>
          <t>Logika dipatahkan</t>
        </is>
      </c>
      <c r="F5" s="5" t="inlineStr">
        <is>
          <t>Laporan kepatuhan terbaik bukan yang paling tebal… tapi yang bisa dipahami direksi dalam 10 detik.</t>
        </is>
      </c>
      <c r="G5" s="5" t="inlineStr">
        <is>
          <t>Direksi, DPO, compliance lead</t>
        </is>
      </c>
      <c r="H5" s="5" t="inlineStr">
        <is>
          <t>Serius, ringkas</t>
        </is>
      </c>
      <c r="I5" s="5" t="inlineStr">
        <is>
          <t>Satu layar untuk kepatuhan lintas modul</t>
        </is>
      </c>
      <c r="J5" s="5" t="inlineStr">
        <is>
          <t>Start Pre Check (gratis) · privasimu.com · support@privasimu.com · 0851 8318 2722</t>
        </is>
      </c>
      <c r="K5" s="5" t="inlineStr">
        <is>
          <t>fakta_produk: dukungan PPDP (dasbor lintas modul); halaman Postur (3 lapisan: data 50%, proses 30%, respons 20%)</t>
        </is>
      </c>
      <c r="L5" s="40" t="inlineStr">
        <is>
          <t>Siap</t>
        </is>
      </c>
      <c r="M5" s="9" t="n">
        <v>7</v>
      </c>
    </row>
    <row r="6" ht="70" customHeight="1">
      <c r="A6" s="39" t="inlineStr">
        <is>
          <t>M02</t>
        </is>
      </c>
      <c r="B6" s="11" t="inlineStr">
        <is>
          <t>GAP Assessment</t>
        </is>
      </c>
      <c r="C6" s="5" t="inlineStr">
        <is>
          <t>Jangan cek skor kepatuhanmu…</t>
        </is>
      </c>
      <c r="D6" s="9" t="inlineStr">
        <is>
          <t>55 dtk</t>
        </is>
      </c>
      <c r="E6" s="9" t="inlineStr">
        <is>
          <t>Reverse psychology</t>
        </is>
      </c>
      <c r="F6" s="5" t="inlineStr">
        <is>
          <t>Jangan cek skor kepatuhan perusahaanmu… kalau belum siap kaget.</t>
        </is>
      </c>
      <c r="G6" s="5" t="inlineStr">
        <is>
          <t>DPO, legal, direksi</t>
        </is>
      </c>
      <c r="H6" s="5" t="inlineStr">
        <is>
          <t>Serius dengan sentilan</t>
        </is>
      </c>
      <c r="I6" s="5" t="inlineStr">
        <is>
          <t>Ukur kepatuhan UU PDP dengan skor &amp; rencana perbaikan</t>
        </is>
      </c>
      <c r="J6" s="5" t="inlineStr">
        <is>
          <t>Start Pre Check (gratis) · privasimu.com · support@privasimu.com · 0851 8318 2722</t>
        </is>
      </c>
      <c r="K6" s="5" t="inlineStr">
        <is>
          <t>fakta_produk: gap-assessment (kuesioner, skor, remediasi, analisis bukti AI 1 kredit &amp; dicache); panduan aplikasi: 34 indikator</t>
        </is>
      </c>
      <c r="L6" s="41" t="inlineStr">
        <is>
          <t>Siap (blur user)</t>
        </is>
      </c>
      <c r="M6" s="9" t="n">
        <v>8</v>
      </c>
    </row>
    <row r="7" ht="70" customHeight="1">
      <c r="A7" s="39" t="inlineStr">
        <is>
          <t>M03</t>
        </is>
      </c>
      <c r="B7" s="11" t="inlineStr">
        <is>
          <t>Maturity Assessment</t>
        </is>
      </c>
      <c r="C7" s="5" t="inlineStr">
        <is>
          <t>Patuh itu bukan ya/tidak</t>
        </is>
      </c>
      <c r="D7" s="9" t="inlineStr">
        <is>
          <t>50 dtk</t>
        </is>
      </c>
      <c r="E7" s="9" t="inlineStr">
        <is>
          <t>Logika dipatahkan</t>
        </is>
      </c>
      <c r="F7" s="5" t="inlineStr">
        <is>
          <t>"Sudah patuh atau belum?" itu pertanyaan yang salah.</t>
        </is>
      </c>
      <c r="G7" s="5" t="inlineStr">
        <is>
          <t>DPO, compliance lead</t>
        </is>
      </c>
      <c r="H7" s="5" t="inlineStr">
        <is>
          <t>Serius</t>
        </is>
      </c>
      <c r="I7" s="5" t="inlineStr">
        <is>
          <t>Kepatuhan punya level; naikkan levelnya</t>
        </is>
      </c>
      <c r="J7" s="5" t="inlineStr">
        <is>
          <t>Konsultasi dengan Privasimu · privasimu.com · support@privasimu.com · 0851 8318 2722</t>
        </is>
      </c>
      <c r="K7" s="5" t="inlineStr">
        <is>
          <t>fakta_produk: maturity (level per domain, analisis bukti AI, rekomendasi); subjudul aplikasi: 4 level Ad-hoc/Defined/Managed/Optimized</t>
        </is>
      </c>
      <c r="L7" s="41" t="inlineStr">
        <is>
          <t>Siap (blur user)</t>
        </is>
      </c>
      <c r="M7" s="9" t="n">
        <v>6</v>
      </c>
    </row>
    <row r="8" ht="70" customHeight="1">
      <c r="A8" s="39" t="inlineStr">
        <is>
          <t>M04</t>
        </is>
      </c>
      <c r="B8" s="11" t="inlineStr">
        <is>
          <t>RoPA</t>
        </is>
      </c>
      <c r="C8" s="5" t="inlineStr">
        <is>
          <t>RoPA_final_revisi3_FIX.xlsx harus pensiun</t>
        </is>
      </c>
      <c r="D8" s="9" t="inlineStr">
        <is>
          <t>60 dtk</t>
        </is>
      </c>
      <c r="E8" s="9" t="inlineStr">
        <is>
          <t>Relate</t>
        </is>
      </c>
      <c r="F8" s="5" t="inlineStr">
        <is>
          <t>Angkat tangan kalau kamu punya file bernama "RoPA_final_revisi3_FIX.xlsx".</t>
        </is>
      </c>
      <c r="G8" s="5" t="inlineStr">
        <is>
          <t>DPO, legal, pemilik proses</t>
        </is>
      </c>
      <c r="H8" s="5" t="inlineStr">
        <is>
          <t>Relatable → serius</t>
        </is>
      </c>
      <c r="I8" s="5" t="inlineStr">
        <is>
          <t>Satu register terpusat, alur jelas, jejak audit</t>
        </is>
      </c>
      <c r="J8" s="5" t="inlineStr">
        <is>
          <t>Start Pre Check (gratis) · privasimu.com · support@privasimu.com · 0851 8318 2722</t>
        </is>
      </c>
      <c r="K8" s="5" t="inlineStr">
        <is>
          <t>fakta_produk: ropa (wizard, kode ROPA, data spesifik → TINGGI → draf DPIA, Maker/Reviewer/Approver, tautan pihak ketiga, isi otomatis AI)</t>
        </is>
      </c>
      <c r="L8" s="41" t="inlineStr">
        <is>
          <t>Siap (1 aset perlu crop)</t>
        </is>
      </c>
      <c r="M8" s="9" t="n">
        <v>9</v>
      </c>
    </row>
    <row r="9" ht="70" customHeight="1">
      <c r="A9" s="39" t="inlineStr">
        <is>
          <t>M05</t>
        </is>
      </c>
      <c r="B9" s="11" t="inlineStr">
        <is>
          <t>DPIA &amp; Risk Treatment Plan</t>
        </is>
      </c>
      <c r="C9" s="5" t="inlineStr">
        <is>
          <t>Nilai dulu, baru meluncur</t>
        </is>
      </c>
      <c r="D9" s="9" t="inlineStr">
        <is>
          <t>60 dtk</t>
        </is>
      </c>
      <c r="E9" s="9" t="inlineStr">
        <is>
          <t>Anomali</t>
        </is>
      </c>
      <c r="F9" s="5" t="inlineStr">
        <is>
          <t>Proyek paling berisiko di kantormu… biasanya proyek yang paling ditunggu-tunggu.</t>
        </is>
      </c>
      <c r="G9" s="5" t="inlineStr">
        <is>
          <t>DPO, product owner, IT</t>
        </is>
      </c>
      <c r="H9" s="5" t="inlineStr">
        <is>
          <t>Serius</t>
        </is>
      </c>
      <c r="I9" s="5" t="inlineStr">
        <is>
          <t>DPIA tertaut RoPA, satu matriks risiko, mitigasi terpantau</t>
        </is>
      </c>
      <c r="J9" s="5" t="inlineStr">
        <is>
          <t>Schedule Demo · privasimu.com · support@privasimu.com · 0851 8318 2722</t>
        </is>
      </c>
      <c r="K9" s="5" t="inlineStr">
        <is>
          <t>fakta_produk: dpia (matriks 5×5, register risiko, tertaut RoPA, AI, Risk Treatment Plan); subjudul RTP di aplikasi</t>
        </is>
      </c>
      <c r="L9" s="41" t="inlineStr">
        <is>
          <t>Siap (RTP perlu blur owner)</t>
        </is>
      </c>
      <c r="M9" s="9" t="n">
        <v>8</v>
      </c>
    </row>
    <row r="10" ht="70" customHeight="1">
      <c r="A10" s="39" t="inlineStr">
        <is>
          <t>M06</t>
        </is>
      </c>
      <c r="B10" s="11" t="inlineStr">
        <is>
          <t>LIA (Legitimate Interest Assessment)</t>
        </is>
      </c>
      <c r="C10" s="5" t="inlineStr">
        <is>
          <t>"Kepentingan yang sah" bukan cek kosong</t>
        </is>
      </c>
      <c r="D10" s="9" t="inlineStr">
        <is>
          <t>45 dtk</t>
        </is>
      </c>
      <c r="E10" s="9" t="inlineStr">
        <is>
          <t>Logika dipatahkan</t>
        </is>
      </c>
      <c r="F10" s="5" t="inlineStr">
        <is>
          <t>"Kan kita punya kepentingan yang sah." Kalimat ini bukan tiket bebas.</t>
        </is>
      </c>
      <c r="G10" s="5" t="inlineStr">
        <is>
          <t>Marketing, product, legal</t>
        </is>
      </c>
      <c r="H10" s="5" t="inlineStr">
        <is>
          <t>Serius</t>
        </is>
      </c>
      <c r="I10" s="5" t="inlineStr">
        <is>
          <t>Kepentingan sah harus ditimbang &amp; didokumentasikan</t>
        </is>
      </c>
      <c r="J10" s="5" t="inlineStr">
        <is>
          <t>Schedule Demo · privasimu.com · support@privasimu.com · 0851 8318 2722</t>
        </is>
      </c>
      <c r="K10" s="5" t="inlineStr">
        <is>
          <t>UU PDP Ps. 20 ayat (2) huruf f; modul LIA (katalog modul); status Draft/Submitted/Checked/Approved (aplikasi)</t>
        </is>
      </c>
      <c r="L10" s="42" t="inlineStr">
        <is>
          <t>PERLU SCREENSHOT BARU</t>
        </is>
      </c>
      <c r="M10" s="9" t="n">
        <v>5</v>
      </c>
    </row>
    <row r="11" ht="70" customHeight="1">
      <c r="A11" s="39" t="inlineStr">
        <is>
          <t>M07</t>
        </is>
      </c>
      <c r="B11" s="11" t="inlineStr">
        <is>
          <t>DSR (Permohonan Hak Subjek Data)</t>
        </is>
      </c>
      <c r="C11" s="5" t="inlineStr">
        <is>
          <t>72 jam itu cepat. Apalagi kalau dihitung manual.</t>
        </is>
      </c>
      <c r="D11" s="9" t="inlineStr">
        <is>
          <t>60 dtk</t>
        </is>
      </c>
      <c r="E11" s="9" t="inlineStr">
        <is>
          <t>Relate</t>
        </is>
      </c>
      <c r="F11" s="5" t="inlineStr">
        <is>
          <t>Email yang paling ditakuti customer service: "Tolong hapus semua data saya."</t>
        </is>
      </c>
      <c r="G11" s="5" t="inlineStr">
        <is>
          <t>CS, DPO, IT</t>
        </is>
      </c>
      <c r="H11" s="5" t="inlineStr">
        <is>
          <t>Relatable → serius</t>
        </is>
      </c>
      <c r="I11" s="5" t="inlineStr">
        <is>
          <t>Permohonan tercatat, tenggat otomatis, eksekusi &amp; sertifikat</t>
        </is>
      </c>
      <c r="J11" s="5" t="inlineStr">
        <is>
          <t>Schedule Demo · privasimu.com · support@privasimu.com · 0851 8318 2722</t>
        </is>
      </c>
      <c r="K11" s="5" t="inlineStr">
        <is>
          <t>fakta_produk: dsr (formulir sematan, tenggat 72 jam, verifikasi, Handler/Reviewer/Approver, draf AI, API/webhook); layar SQL Pack &amp; sertifikat di aplikasi</t>
        </is>
      </c>
      <c r="L11" s="40" t="inlineStr">
        <is>
          <t>Siap (hindari daftar aplikasi ber-merek)</t>
        </is>
      </c>
      <c r="M11" s="9" t="n">
        <v>9</v>
      </c>
    </row>
    <row r="12" ht="70" customHeight="1">
      <c r="A12" s="39" t="inlineStr">
        <is>
          <t>M08</t>
        </is>
      </c>
      <c r="B12" s="11" t="inlineStr">
        <is>
          <t>Consent &amp; Cookie</t>
        </is>
      </c>
      <c r="C12" s="5" t="inlineStr">
        <is>
          <t>Klik "Setuju" tanpa bukti = tidak pernah setuju</t>
        </is>
      </c>
      <c r="D12" s="9" t="inlineStr">
        <is>
          <t>60 dtk</t>
        </is>
      </c>
      <c r="E12" s="9" t="inlineStr">
        <is>
          <t>Logika dipatahkan</t>
        </is>
      </c>
      <c r="F12" s="5" t="inlineStr">
        <is>
          <t>Pelanggan sudah klik "Setuju". Pertanyaannya: bisa kamu buktikan?</t>
        </is>
      </c>
      <c r="G12" s="5" t="inlineStr">
        <is>
          <t>Marketing, product, DPO</t>
        </is>
      </c>
      <c r="H12" s="5" t="inlineStr">
        <is>
          <t>Serius</t>
        </is>
      </c>
      <c r="I12" s="5" t="inlineStr">
        <is>
          <t>Persetujuan tercatat beserta bukti, penarikan menyebar ke semua sistem</t>
        </is>
      </c>
      <c r="J12" s="5" t="inlineStr">
        <is>
          <t>Schedule Demo · privasimu.com · support@privasimu.com · 0851 8318 2722</t>
        </is>
      </c>
      <c r="K12" s="5" t="inlineStr">
        <is>
          <t>fakta_produk: consent (titik per kanal, banner &amp; pusat preferensi, log + bukti, penarikan via API/webhook)</t>
        </is>
      </c>
      <c r="L12" s="41" t="inlineStr">
        <is>
          <t>Siap (blur domain/URL; cookie hanya KPI)</t>
        </is>
      </c>
      <c r="M12" s="9" t="n">
        <v>8</v>
      </c>
    </row>
    <row r="13" ht="70" customHeight="1">
      <c r="A13" s="39" t="inlineStr">
        <is>
          <t>M09</t>
        </is>
      </c>
      <c r="B13" s="11" t="inlineStr">
        <is>
          <t>Children Pro (persetujuan wali)</t>
        </is>
      </c>
      <c r="C13" s="5" t="inlineStr">
        <is>
          <t>Pengguna termuda juga butuh izin (walinya)</t>
        </is>
      </c>
      <c r="D13" s="9" t="inlineStr">
        <is>
          <t>45 dtk</t>
        </is>
      </c>
      <c r="E13" s="9" t="inlineStr">
        <is>
          <t>Anomali</t>
        </is>
      </c>
      <c r="F13" s="5" t="inlineStr">
        <is>
          <t>Pengguna paling setia aplikasimu… mungkin masih kelas 5 SD.</t>
        </is>
      </c>
      <c r="G13" s="5" t="inlineStr">
        <is>
          <t>Edtech, game, sekolah, kesehatan anak</t>
        </is>
      </c>
      <c r="H13" s="5" t="inlineStr">
        <is>
          <t>Serius, hangat</t>
        </is>
      </c>
      <c r="I13" s="5" t="inlineStr">
        <is>
          <t>Persetujuan wali, verifikasi, peralihan saat 18 tahun</t>
        </is>
      </c>
      <c r="J13" s="5" t="inlineStr">
        <is>
          <t>Schedule Demo · privasimu.com · support@privasimu.com · 0851 8318 2722</t>
        </is>
      </c>
      <c r="K13" s="5" t="inlineStr">
        <is>
          <t>UU PDP Ps. 4 (2) e (data anak = spesifik); PP 33/2026 Ps. 38 (termasuk peralihan saat 18 tahun); fakta_produk: consent (Children Pro)</t>
        </is>
      </c>
      <c r="L13" s="41" t="inlineStr">
        <is>
          <t>Header siap; data perlu screenshot baru</t>
        </is>
      </c>
      <c r="M13" s="9" t="n">
        <v>6</v>
      </c>
    </row>
    <row r="14" ht="70" customHeight="1">
      <c r="A14" s="39" t="inlineStr">
        <is>
          <t>M10</t>
        </is>
      </c>
      <c r="B14" s="11" t="inlineStr">
        <is>
          <t>Inclusive Privacy</t>
        </is>
      </c>
      <c r="C14" s="5" t="inlineStr">
        <is>
          <t>Persetujuan yang bisa dipahami semua orang</t>
        </is>
      </c>
      <c r="D14" s="9" t="inlineStr">
        <is>
          <t>45 dtk</t>
        </is>
      </c>
      <c r="E14" s="9" t="inlineStr">
        <is>
          <t>Reverse psychology</t>
        </is>
      </c>
      <c r="F14" s="5" t="inlineStr">
        <is>
          <t>Coba setujui syarat &amp; ketentuan ini… dengan mata tertutup.</t>
        </is>
      </c>
      <c r="G14" s="5" t="inlineStr">
        <is>
          <t>Layanan publik, bank, kesehatan, telko</t>
        </is>
      </c>
      <c r="H14" s="5" t="inlineStr">
        <is>
          <t>Serius, empatik</t>
        </is>
      </c>
      <c r="I14" s="5" t="inlineStr">
        <is>
          <t>Persetujuan aksesibel bagi penyandang disabilitas</t>
        </is>
      </c>
      <c r="J14" s="5" t="inlineStr">
        <is>
          <t>Schedule Demo · privasimu.com · support@privasimu.com · 0851 8318 2722</t>
        </is>
      </c>
      <c r="K14" s="5" t="inlineStr">
        <is>
          <t>fakta_produk: consent (Inclusive Privacy); PP 33/2026 Ps. 39 (katalog modul, VERIFIKASI bunyi pasal)</t>
        </is>
      </c>
      <c r="L14" s="41" t="inlineStr">
        <is>
          <t>Header siap; data perlu screenshot baru</t>
        </is>
      </c>
      <c r="M14" s="9" t="n">
        <v>5</v>
      </c>
    </row>
    <row r="15" ht="70" customHeight="1">
      <c r="A15" s="39" t="inlineStr">
        <is>
          <t>M11</t>
        </is>
      </c>
      <c r="B15" s="11" t="inlineStr">
        <is>
          <t>Manajemen Insiden (Data Breach)</t>
        </is>
      </c>
      <c r="C15" s="5" t="inlineStr">
        <is>
          <t>Jam 3 pagi, notifikasi masuk</t>
        </is>
      </c>
      <c r="D15" s="9" t="inlineStr">
        <is>
          <t>60 dtk</t>
        </is>
      </c>
      <c r="E15" s="9" t="inlineStr">
        <is>
          <t>Relate</t>
        </is>
      </c>
      <c r="F15" s="5" t="inlineStr">
        <is>
          <t>Jam 3 pagi. Notifikasi ini masuk: "Dugaan kebocoran data."</t>
        </is>
      </c>
      <c r="G15" s="5" t="inlineStr">
        <is>
          <t>DPO, CISO, IT security</t>
        </is>
      </c>
      <c r="H15" s="5" t="inlineStr">
        <is>
          <t>Tegang → tenang</t>
        </is>
      </c>
      <c r="I15" s="5" t="inlineStr">
        <is>
          <t>Alur 5 fase siap sejak insiden dicatat, templat &amp; hitung mundur 3×24 jam</t>
        </is>
      </c>
      <c r="J15" s="5" t="inlineStr">
        <is>
          <t>Schedule Demo · privasimu.com · support@privasimu.com · 0851 8318 2722</t>
        </is>
      </c>
      <c r="K15" s="5" t="inlineStr">
        <is>
          <t>UU PDP Ps. 46 jo. PP 33/2026 Ps. 114; fakta_produk: breach (checklist &amp; linimasa otomatis, hitung mundur 3×24 jam, RACI, templat, AI)</t>
        </is>
      </c>
      <c r="L15" s="40" t="inlineStr">
        <is>
          <t>Siap</t>
        </is>
      </c>
      <c r="M15" s="9" t="n">
        <v>8</v>
      </c>
    </row>
    <row r="16" ht="70" customHeight="1">
      <c r="A16" s="39" t="inlineStr">
        <is>
          <t>M12</t>
        </is>
      </c>
      <c r="B16" s="11" t="inlineStr">
        <is>
          <t>Simulasi &amp; Fire Drill</t>
        </is>
      </c>
      <c r="C16" s="5" t="inlineStr">
        <is>
          <t>Latihan kebakaran ada. Latihan kebocoran data?</t>
        </is>
      </c>
      <c r="D16" s="9" t="inlineStr">
        <is>
          <t>45 dtk</t>
        </is>
      </c>
      <c r="E16" s="9" t="inlineStr">
        <is>
          <t>Logika dipatahkan</t>
        </is>
      </c>
      <c r="F16" s="5" t="inlineStr">
        <is>
          <t>Kantor rutin latihan kebakaran. Latihan kebocoran data? …hening.</t>
        </is>
      </c>
      <c r="G16" s="5" t="inlineStr">
        <is>
          <t>CISO, DPO, HR</t>
        </is>
      </c>
      <c r="H16" s="5" t="inlineStr">
        <is>
          <t>Serius dengan sentilan</t>
        </is>
      </c>
      <c r="I16" s="5" t="inlineStr">
        <is>
          <t>Latih tim lewat skenario &amp; rubrik sebelum insiden sungguhan</t>
        </is>
      </c>
      <c r="J16" s="5" t="inlineStr">
        <is>
          <t>Konsultasi dengan Privasimu · privasimu.com · support@privasimu.com · 0851 8318 2722</t>
        </is>
      </c>
      <c r="K16" s="5" t="inlineStr">
        <is>
          <t>fakta_produk: simulasi (kuis, tabletop, walkthrough, skenario AI, rubrik &amp; tindak lanjut)</t>
        </is>
      </c>
      <c r="L16" s="41" t="inlineStr">
        <is>
          <t>Siap (crop kartu skor, blur user)</t>
        </is>
      </c>
      <c r="M16" s="9" t="n">
        <v>6</v>
      </c>
    </row>
    <row r="17" ht="70" customHeight="1">
      <c r="A17" s="39" t="inlineStr">
        <is>
          <t>M13</t>
        </is>
      </c>
      <c r="B17" s="11" t="inlineStr">
        <is>
          <t>Manajemen Risiko Pihak Ketiga (TPRM)</t>
        </is>
      </c>
      <c r="C17" s="5" t="inlineStr">
        <is>
          <t>Datamu aman. Data di pihak ketigamu?</t>
        </is>
      </c>
      <c r="D17" s="9" t="inlineStr">
        <is>
          <t>60 dtk</t>
        </is>
      </c>
      <c r="E17" s="9" t="inlineStr">
        <is>
          <t>Anomali</t>
        </is>
      </c>
      <c r="F17" s="5" t="inlineStr">
        <is>
          <t>Kebocoran bisa lewat pintu yang bukan milikmu.</t>
        </is>
      </c>
      <c r="G17" s="5" t="inlineStr">
        <is>
          <t>Procurement, DPO, legal</t>
        </is>
      </c>
      <c r="H17" s="5" t="inlineStr">
        <is>
          <t>Serius</t>
        </is>
      </c>
      <c r="I17" s="5" t="inlineStr">
        <is>
          <t>Petakan, nilai, dan pantau pihak ketiga yang memproses data</t>
        </is>
      </c>
      <c r="J17" s="5" t="inlineStr">
        <is>
          <t>Schedule Demo · privasimu.com · support@privasimu.com · 0851 8318 2722</t>
        </is>
      </c>
      <c r="K17" s="5" t="inlineStr">
        <is>
          <t>fakta_produk: pihak ketiga (kuesioner via tautan tanpa akun, skor risiko, analisis bukti AI, keterkaitan RoPA &amp; kontrak); template 56 pertanyaan di aplikasi</t>
        </is>
      </c>
      <c r="L17" s="41" t="inlineStr">
        <is>
          <t>Siap (blur PIC &amp; website)</t>
        </is>
      </c>
      <c r="M17" s="9" t="n">
        <v>8</v>
      </c>
    </row>
    <row r="18" ht="70" customHeight="1">
      <c r="A18" s="39" t="inlineStr">
        <is>
          <t>M14</t>
        </is>
      </c>
      <c r="B18" s="11" t="inlineStr">
        <is>
          <t>Transfer Data Lintas Negara &amp; TIA</t>
        </is>
      </c>
      <c r="C18" s="5" t="inlineStr">
        <is>
          <t>"Di cloud" bukan jawaban lokasi</t>
        </is>
      </c>
      <c r="D18" s="9" t="inlineStr">
        <is>
          <t>50 dtk</t>
        </is>
      </c>
      <c r="E18" s="9" t="inlineStr">
        <is>
          <t>Logika dipatahkan</t>
        </is>
      </c>
      <c r="F18" s="5" t="inlineStr">
        <is>
          <t>"Datanya di mana?" "Di cloud." "Cloud-nya di negara mana?" …</t>
        </is>
      </c>
      <c r="G18" s="5" t="inlineStr">
        <is>
          <t>IT, legal, DPO</t>
        </is>
      </c>
      <c r="H18" s="5" t="inlineStr">
        <is>
          <t>Relatable → serius</t>
        </is>
      </c>
      <c r="I18" s="5" t="inlineStr">
        <is>
          <t>Register transfer + Transfer Impact Assessment</t>
        </is>
      </c>
      <c r="J18" s="5" t="inlineStr">
        <is>
          <t>Schedule Demo · privasimu.com · support@privasimu.com · 0851 8318 2722</t>
        </is>
      </c>
      <c r="K18" s="5" t="inlineStr">
        <is>
          <t>fakta_produk: transfer lintas negara (register, TIA, pemetaan setara/memadai); subjudul TIA di aplikasi menyebut UU PDP Ps. 56 (VERIFIKASI bunyi pasal)</t>
        </is>
      </c>
      <c r="L18" s="41" t="inlineStr">
        <is>
          <t>Siap (blur nama entitas)</t>
        </is>
      </c>
      <c r="M18" s="9" t="n">
        <v>6</v>
      </c>
    </row>
    <row r="19" ht="70" customHeight="1">
      <c r="A19" s="39" t="inlineStr">
        <is>
          <t>M15</t>
        </is>
      </c>
      <c r="B19" s="11" t="inlineStr">
        <is>
          <t>Data Discovery &amp; Mapping</t>
        </is>
      </c>
      <c r="C19" s="5" t="inlineStr">
        <is>
          <t>Yang paling berisiko: data yang tak kamu tahu ada</t>
        </is>
      </c>
      <c r="D19" s="9" t="inlineStr">
        <is>
          <t>50 dtk</t>
        </is>
      </c>
      <c r="E19" s="9" t="inlineStr">
        <is>
          <t>Logika dipatahkan</t>
        </is>
      </c>
      <c r="F19" s="5" t="inlineStr">
        <is>
          <t>Data paling berisiko bukan yang paling sensitif… tapi yang tidak kamu tahu ada.</t>
        </is>
      </c>
      <c r="G19" s="5" t="inlineStr">
        <is>
          <t>IT, data engineer, DPO</t>
        </is>
      </c>
      <c r="H19" s="5" t="inlineStr">
        <is>
          <t>Serius</t>
        </is>
      </c>
      <c r="I19" s="5" t="inlineStr">
        <is>
          <t>Temukan &amp; klasifikasi data pribadi di semua sistem</t>
        </is>
      </c>
      <c r="J19" s="5" t="inlineStr">
        <is>
          <t>Schedule Demo · privasimu.com · support@privasimu.com · 0851 8318 2722</t>
        </is>
      </c>
      <c r="K19" s="5" t="inlineStr">
        <is>
          <t>fakta_produk: data discovery (katalog sistem, pemindaian kolom umum/spesifik, tautan ke RoPA, pencarian data satu subjek untuk DSR)</t>
        </is>
      </c>
      <c r="L19" s="41" t="inlineStr">
        <is>
          <t>Siap; hasil scan per orang perlu screenshot baru</t>
        </is>
      </c>
      <c r="M19" s="9" t="n">
        <v>7</v>
      </c>
    </row>
    <row r="20" ht="70" customHeight="1">
      <c r="A20" s="39" t="inlineStr">
        <is>
          <t>M16</t>
        </is>
      </c>
      <c r="B20" s="11" t="inlineStr">
        <is>
          <t>Telaah Kebijakan &amp; Policy Generator</t>
        </is>
      </c>
      <c r="C20" s="5" t="inlineStr">
        <is>
          <t>Kebijakanmu lebih tua dari UU PDP?</t>
        </is>
      </c>
      <c r="D20" s="9" t="inlineStr">
        <is>
          <t>55 dtk</t>
        </is>
      </c>
      <c r="E20" s="9" t="inlineStr">
        <is>
          <t>Anomali</t>
        </is>
      </c>
      <c r="F20" s="5" t="inlineStr">
        <is>
          <t>Kebijakan privasi di situsmu mungkin lebih tua dari UU PDP.</t>
        </is>
      </c>
      <c r="G20" s="5" t="inlineStr">
        <is>
          <t>Legal, DPO</t>
        </is>
      </c>
      <c r="H20" s="5" t="inlineStr">
        <is>
          <t>Serius</t>
        </is>
      </c>
      <c r="I20" s="5" t="inlineStr">
        <is>
          <t>Telaah per bab terhadap UU PDP &amp; PP 33, susun draf baru</t>
        </is>
      </c>
      <c r="J20" s="5" t="inlineStr">
        <is>
          <t>Konsultasi dengan Privasimu · privasimu.com · support@privasimu.com · 0851 8318 2722</t>
        </is>
      </c>
      <c r="K20" s="5" t="inlineStr">
        <is>
          <t>fakta_produk: telaah kebijakan (per bab, pasal dari knowledge base bukan ditulis AI, harmonisasi, bisa disunting konsultan); Policy Generator (katalog modul)</t>
        </is>
      </c>
      <c r="L20" s="40" t="inlineStr">
        <is>
          <t>Siap (pakai UI terbaru)</t>
        </is>
      </c>
      <c r="M20" s="9" t="n">
        <v>7</v>
      </c>
    </row>
    <row r="21" ht="70" customHeight="1">
      <c r="A21" s="39" t="inlineStr">
        <is>
          <t>M17</t>
        </is>
      </c>
      <c r="B21" s="11" t="inlineStr">
        <is>
          <t>Telaah Kontrak &amp; Document Maker</t>
        </is>
      </c>
      <c r="C21" s="5" t="inlineStr">
        <is>
          <t>Kontrak diteken ≠ data aman</t>
        </is>
      </c>
      <c r="D21" s="9" t="inlineStr">
        <is>
          <t>55 dtk</t>
        </is>
      </c>
      <c r="E21" s="9" t="inlineStr">
        <is>
          <t>Logika dipatahkan</t>
        </is>
      </c>
      <c r="F21" s="5" t="inlineStr">
        <is>
          <t>Kontrak sudah ditandatangani… bukan berarti datanya aman.</t>
        </is>
      </c>
      <c r="G21" s="5" t="inlineStr">
        <is>
          <t>Legal, procurement</t>
        </is>
      </c>
      <c r="H21" s="5" t="inlineStr">
        <is>
          <t>Serius</t>
        </is>
      </c>
      <c r="I21" s="5" t="inlineStr">
        <is>
          <t>Telaah DPA/kontrak per pasal, susun dokumen baru</t>
        </is>
      </c>
      <c r="J21" s="5" t="inlineStr">
        <is>
          <t>Konsultasi dengan Privasimu · privasimu.com · support@privasimu.com · 0851 8318 2722</t>
        </is>
      </c>
      <c r="K21" s="5" t="inlineStr">
        <is>
          <t>fakta_produk: telaah kontrak (DPA, kontrak pihak ketiga, NDA, kontrak pelanggan; pasal diverifikasi ke KB; rekomendasi klausul); Document Maker (katalog modul, unduh PDF/DOCX tampak di aplikasi)</t>
        </is>
      </c>
      <c r="L21" s="40" t="inlineStr">
        <is>
          <t>Siap (pakai UI terbaru)</t>
        </is>
      </c>
      <c r="M21" s="9" t="n">
        <v>6</v>
      </c>
    </row>
    <row r="22" ht="70" customHeight="1">
      <c r="A22" s="39" t="inlineStr">
        <is>
          <t>M18</t>
        </is>
      </c>
      <c r="B22" s="11" t="inlineStr">
        <is>
          <t>Document Import (AI)</t>
        </is>
      </c>
      <c r="C22" s="5" t="inlineStr">
        <is>
          <t>Jangan ketik ulang 200 dokumen</t>
        </is>
      </c>
      <c r="D22" s="9" t="inlineStr">
        <is>
          <t>40 dtk</t>
        </is>
      </c>
      <c r="E22" s="9" t="inlineStr">
        <is>
          <t>Reverse psychology</t>
        </is>
      </c>
      <c r="F22" s="5" t="inlineStr">
        <is>
          <t>Silakan ketik ulang 200 dokumen RoPA-mu satu per satu… atau jangan.</t>
        </is>
      </c>
      <c r="G22" s="5" t="inlineStr">
        <is>
          <t>DPO, admin kepatuhan</t>
        </is>
      </c>
      <c r="H22" s="5" t="inlineStr">
        <is>
          <t>Ringan</t>
        </is>
      </c>
      <c r="I22" s="5" t="inlineStr">
        <is>
          <t>Migrasi dokumen lama dengan AI</t>
        </is>
      </c>
      <c r="J22" s="5" t="inlineStr">
        <is>
          <t>Schedule Demo · privasimu.com · support@privasimu.com · 0851 8318 2722</t>
        </is>
      </c>
      <c r="K22" s="5" t="inlineStr">
        <is>
          <t>Subjudul aplikasi: "Upload dokumen RoPA/DPIA → AI analisis otomatis → auto-mapping ke database"; format .docx .xlsx .csv .pdf, maks 20 file per batch (tampak di layar)</t>
        </is>
      </c>
      <c r="L22" s="40" t="inlineStr">
        <is>
          <t>Siap</t>
        </is>
      </c>
      <c r="M22" s="9" t="n">
        <v>5</v>
      </c>
    </row>
    <row r="23" ht="70" customHeight="1">
      <c r="A23" s="39" t="inlineStr">
        <is>
          <t>M19</t>
        </is>
      </c>
      <c r="B23" s="11" t="inlineStr">
        <is>
          <t>Priva: Asisten AI DPO &amp; Knowledge Base</t>
        </is>
      </c>
      <c r="C23" s="5" t="inlineStr">
        <is>
          <t>AI yang tidak mengarang pasal</t>
        </is>
      </c>
      <c r="D23" s="9" t="inlineStr">
        <is>
          <t>50 dtk</t>
        </is>
      </c>
      <c r="E23" s="9" t="inlineStr">
        <is>
          <t>Logika dipatahkan</t>
        </is>
      </c>
      <c r="F23" s="5" t="inlineStr">
        <is>
          <t>AI paling berguna untuk DPO bukan yang paling kreatif… tapi yang tidak mengarang pasal.</t>
        </is>
      </c>
      <c r="G23" s="5" t="inlineStr">
        <is>
          <t>DPO, legal</t>
        </is>
      </c>
      <c r="H23" s="5" t="inlineStr">
        <is>
          <t>Serius</t>
        </is>
      </c>
      <c r="I23" s="5" t="inlineStr">
        <is>
          <t>Asisten AI berbasis knowledge base, aksi tercatat</t>
        </is>
      </c>
      <c r="J23" s="5" t="inlineStr">
        <is>
          <t>Schedule Demo · privasimu.com · support@privasimu.com · 0851 8318 2722</t>
        </is>
      </c>
      <c r="K23" s="5" t="inlineStr">
        <is>
          <t>fakta_produk: dukungan PPDP (Asisten AI Priva menjawab berdasarkan knowledge base platform; log audit manusia &amp; AI); UU PDP 76 pasal (knowledge base)</t>
        </is>
      </c>
      <c r="L23" s="40" t="inlineStr">
        <is>
          <t>Siap</t>
        </is>
      </c>
      <c r="M23" s="9" t="n">
        <v>7</v>
      </c>
    </row>
    <row r="24" ht="70" customHeight="1">
      <c r="A24" s="39" t="inlineStr">
        <is>
          <t>M20</t>
        </is>
      </c>
      <c r="B24" s="11" t="inlineStr">
        <is>
          <t>Dukungan PPDP &amp; Paparan Sanksi</t>
        </is>
      </c>
      <c r="C24" s="5" t="inlineStr">
        <is>
          <t>Siapa DPO di kantor ini?</t>
        </is>
      </c>
      <c r="D24" s="9" t="inlineStr">
        <is>
          <t>50 dtk</t>
        </is>
      </c>
      <c r="E24" s="9" t="inlineStr">
        <is>
          <t>Relate</t>
        </is>
      </c>
      <c r="F24" s="5" t="inlineStr">
        <is>
          <t>"Siapa DPO di kantor ini?" Semua menunjuk… ke orang yang sedang cuti.</t>
        </is>
      </c>
      <c r="G24" s="5" t="inlineStr">
        <is>
          <t>Direksi, HR, DPO</t>
        </is>
      </c>
      <c r="H24" s="5" t="inlineStr">
        <is>
          <t>Relatable → serius</t>
        </is>
      </c>
      <c r="I24" s="5" t="inlineStr">
        <is>
          <t>Tunjuk, dukung, dan pantau paparan sanksi</t>
        </is>
      </c>
      <c r="J24" s="5" t="inlineStr">
        <is>
          <t>Konsultasi dengan Privasimu · privasimu.com · support@privasimu.com · 0851 8318 2722</t>
        </is>
      </c>
      <c r="K24" s="5" t="inlineStr">
        <is>
          <t>UU PDP Ps. 53 (kewajiban penunjukan), Ps. 54 (tugas), Ps. 57 (sanksi administratif, denda s.d. 2%); fakta_produk: dukungan PPDP &amp; paparan sanksi</t>
        </is>
      </c>
      <c r="L24" s="42" t="inlineStr">
        <is>
          <t>PERLU SCREENSHOT BARU (/ppdp &amp; paparan sanksi)</t>
        </is>
      </c>
      <c r="M24" s="9" t="n">
        <v>6</v>
      </c>
    </row>
    <row r="25" ht="70" customHeight="1">
      <c r="A25" s="39" t="inlineStr">
        <is>
          <t>M21</t>
        </is>
      </c>
      <c r="B25" s="11" t="inlineStr">
        <is>
          <t>Holding (Asesmen &amp; Dasbor Grup)</t>
        </is>
      </c>
      <c r="C25" s="5" t="inlineStr">
        <is>
          <t>1 grup, 12 definisi "patuh"</t>
        </is>
      </c>
      <c r="D25" s="9" t="inlineStr">
        <is>
          <t>50 dtk</t>
        </is>
      </c>
      <c r="E25" s="9" t="inlineStr">
        <is>
          <t>Anomali</t>
        </is>
      </c>
      <c r="F25" s="5" t="inlineStr">
        <is>
          <t>1 grup usaha. 12 anak perusahaan. 12 definisi "patuh".</t>
        </is>
      </c>
      <c r="G25" s="5" t="inlineStr">
        <is>
          <t>Holding, BUMN/grup swasta</t>
        </is>
      </c>
      <c r="H25" s="5" t="inlineStr">
        <is>
          <t>Serius</t>
        </is>
      </c>
      <c r="I25" s="5" t="inlineStr">
        <is>
          <t>Satu standar kepatuhan untuk seluruh grup</t>
        </is>
      </c>
      <c r="J25" s="5" t="inlineStr">
        <is>
          <t>Konsultasi dengan Privasimu · privasimu.com · support@privasimu.com · 0851 8318 2722</t>
        </is>
      </c>
      <c r="K25" s="5" t="inlineStr">
        <is>
          <t>Katalog modul: holding-assessment, review, dashboard; asesmen holding via tautan publik</t>
        </is>
      </c>
      <c r="L25" s="41" t="inlineStr">
        <is>
          <t>KPI siap; skor per entitas perlu screenshot baru</t>
        </is>
      </c>
      <c r="M25" s="9" t="n">
        <v>6</v>
      </c>
    </row>
    <row r="26" ht="70" customHeight="1">
      <c r="A26" s="39" t="inlineStr">
        <is>
          <t>M22</t>
        </is>
      </c>
      <c r="B26" s="11" t="inlineStr">
        <is>
          <t>DPO Academy (LMS)</t>
        </is>
      </c>
      <c r="C26" s="5" t="inlineStr">
        <is>
          <t>Jangan ambil kelas ini kalau…</t>
        </is>
      </c>
      <c r="D26" s="9" t="inlineStr">
        <is>
          <t>45 dtk</t>
        </is>
      </c>
      <c r="E26" s="9" t="inlineStr">
        <is>
          <t>Reverse psychology</t>
        </is>
      </c>
      <c r="F26" s="5" t="inlineStr">
        <is>
          <t>Jangan ambil kelas ini… kalau kamu sudah hafal 76 pasal UU PDP.</t>
        </is>
      </c>
      <c r="G26" s="5" t="inlineStr">
        <is>
          <t>DPO/PPDP baru, tim legal &amp; kepatuhan</t>
        </is>
      </c>
      <c r="H26" s="5" t="inlineStr">
        <is>
          <t>Ringan</t>
        </is>
      </c>
      <c r="I26" s="5" t="inlineStr">
        <is>
          <t>Jalur belajar DPO + pendampingan konsultan</t>
        </is>
      </c>
      <c r="J26" s="5" t="inlineStr">
        <is>
          <t>Konsultasi dengan Privasimu · privasimu.com · support@privasimu.com · 0851 8318 2722</t>
        </is>
      </c>
      <c r="K26" s="5" t="inlineStr">
        <is>
          <t>Tampilan DPO Academy: 4 kursus (Kepatuhan UU PDP Fundamentals, Manajemen Risiko, Audit Kepatuhan, Tata Kelola), lencana, sertifikat; UU PDP 76 pasal</t>
        </is>
      </c>
      <c r="L26" s="41" t="inlineStr">
        <is>
          <t>Siap (blur nama pengguna)</t>
        </is>
      </c>
      <c r="M26" s="9" t="n">
        <v>6</v>
      </c>
    </row>
  </sheetData>
  <autoFilter ref="A4:M26"/>
  <mergeCells count="1">
    <mergeCell ref="A2:M2"/>
  </mergeCell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12" customWidth="1" min="3" max="3"/>
    <col width="11" customWidth="1" min="4" max="4"/>
    <col width="30" customWidth="1" min="5" max="5"/>
    <col width="40" customWidth="1" min="6" max="6"/>
    <col width="40" customWidth="1" min="7" max="7"/>
    <col width="30" customWidth="1" min="8" max="8"/>
    <col width="46" customWidth="1" min="9" max="9"/>
    <col width="16" customWidth="1" min="10" max="10"/>
  </cols>
  <sheetData>
    <row r="1">
      <c r="A1" s="10" t="inlineStr">
        <is>
          <t>Flow per modul: 1 modul = 1 video</t>
        </is>
      </c>
    </row>
    <row r="2" ht="46" customHeight="1">
      <c r="A2" s="2" t="inlineStr">
        <is>
          <t>Setiap blok = satu video. Kolom Screenshot berisi path relatif dari D:\AI\privasimu; kolom Crop/sorot/blur berisi koordinat [x, y, lebar, tinggi] pada gambar sumber. "BELUM ADA" = perlu ambil screenshot baru (lihat sheet Screenshot per Modul).</t>
        </is>
      </c>
    </row>
    <row r="4" ht="34" customHeight="1">
      <c r="A4" s="3" t="inlineStr">
        <is>
          <t>Kode</t>
        </is>
      </c>
      <c r="B4" s="3" t="inlineStr">
        <is>
          <t>Adegan</t>
        </is>
      </c>
      <c r="C4" s="3" t="inlineStr">
        <is>
          <t>Waktu</t>
        </is>
      </c>
      <c r="D4" s="3" t="inlineStr">
        <is>
          <t>Tahap</t>
        </is>
      </c>
      <c r="E4" s="3" t="inlineStr">
        <is>
          <t>Visual</t>
        </is>
      </c>
      <c r="F4" s="3" t="inlineStr">
        <is>
          <t>Screenshot (path)</t>
        </is>
      </c>
      <c r="G4" s="3" t="inlineStr">
        <is>
          <t>Crop / sorot / blur</t>
        </is>
      </c>
      <c r="H4" s="3" t="inlineStr">
        <is>
          <t>Teks layar</t>
        </is>
      </c>
      <c r="I4" s="3" t="inlineStr">
        <is>
          <t>VO</t>
        </is>
      </c>
      <c r="J4" s="3" t="inlineStr">
        <is>
          <t>SFX</t>
        </is>
      </c>
    </row>
    <row r="5" ht="36" customHeight="1">
      <c r="A5" s="43" t="inlineStr">
        <is>
          <t>M01 · Dasbor Kepatuhan &amp; Postur Privasi · "Laporan terbaik bukan yang paling tebal" · 50 dtk · Hook (Logika dipatahkan): Laporan kepatuhan terbaik bukan yang paling tebal… tapi yang bisa dipahami direksi dalam 10 detik.</t>
        </is>
      </c>
    </row>
    <row r="6" ht="58" customHeight="1">
      <c r="A6" s="29" t="inlineStr">
        <is>
          <t>M01</t>
        </is>
      </c>
      <c r="B6" s="29" t="n">
        <v>1</v>
      </c>
      <c r="C6" s="29" t="inlineStr">
        <is>
          <t>00:00–00:04</t>
        </is>
      </c>
      <c r="D6" s="31" t="inlineStr">
        <is>
          <t>Hook</t>
        </is>
      </c>
      <c r="E6" s="30" t="inlineStr">
        <is>
          <t>Tumpukan laporan setebal bantal jatuh ke meja rapat, lalu dicoret merah</t>
        </is>
      </c>
      <c r="F6" s="30" t="inlineStr">
        <is>
          <t>—</t>
        </is>
      </c>
      <c r="G6" s="30" t="inlineStr">
        <is>
          <t>—</t>
        </is>
      </c>
      <c r="H6" s="30" t="inlineStr">
        <is>
          <t>Laporan kepatuhan terbaik bukan yang paling tebal.</t>
        </is>
      </c>
      <c r="I6" s="30" t="inlineStr">
        <is>
          <t>Laporan kepatuhan terbaik… bukan yang paling tebal.</t>
        </is>
      </c>
      <c r="J6" s="30" t="inlineStr">
        <is>
          <t>impact + record scratch</t>
        </is>
      </c>
    </row>
    <row r="7" ht="58" customHeight="1">
      <c r="A7" s="29" t="inlineStr">
        <is>
          <t>M01</t>
        </is>
      </c>
      <c r="B7" s="29" t="n">
        <v>2</v>
      </c>
      <c r="C7" s="29" t="inlineStr">
        <is>
          <t>00:04–00:09</t>
        </is>
      </c>
      <c r="D7" s="31" t="inlineStr">
        <is>
          <t>Twist</t>
        </is>
      </c>
      <c r="E7" s="30" t="inlineStr">
        <is>
          <t>Jam 10 detik berjalan, direksi melirik jam</t>
        </is>
      </c>
      <c r="F7" s="30" t="inlineStr">
        <is>
          <t>—</t>
        </is>
      </c>
      <c r="G7" s="30" t="inlineStr">
        <is>
          <t>—</t>
        </is>
      </c>
      <c r="H7" s="30" t="inlineStr">
        <is>
          <t>…tapi yang bisa dipahami dalam 10 detik.</t>
        </is>
      </c>
      <c r="I7" s="30" t="inlineStr">
        <is>
          <t>Tapi yang bisa dipahami direksi dalam sepuluh detik.</t>
        </is>
      </c>
      <c r="J7" s="30" t="inlineStr">
        <is>
          <t>tick</t>
        </is>
      </c>
    </row>
    <row r="8" ht="58" customHeight="1">
      <c r="A8" s="9" t="inlineStr">
        <is>
          <t>M01</t>
        </is>
      </c>
      <c r="B8" s="9" t="n">
        <v>3</v>
      </c>
      <c r="C8" s="9" t="inlineStr">
        <is>
          <t>00:09–00:19</t>
        </is>
      </c>
      <c r="D8" s="11" t="inlineStr">
        <is>
          <t>Solusi</t>
        </is>
      </c>
      <c r="E8" s="5" t="inlineStr">
        <is>
          <t>Dasbor Nexus masuk dengan zoom halus</t>
        </is>
      </c>
      <c r="F8" s="5" t="inlineStr">
        <is>
          <t>motion/assets/app/dashboard.png</t>
        </is>
      </c>
      <c r="G8" s="5" t="inlineStr">
        <is>
          <t>Siap pakai. Sorot kartu skor GAP, DSR pending, insiden aktif</t>
        </is>
      </c>
      <c r="H8" s="5" t="inlineStr">
        <is>
          <t>Satu layar. Semua modul.</t>
        </is>
      </c>
      <c r="I8" s="5" t="inlineStr">
        <is>
          <t>Dasbor Privasimu Nexus merangkum kepatuhan lintas modul dalam satu layar.</t>
        </is>
      </c>
      <c r="J8" s="5" t="inlineStr">
        <is>
          <t>whoosh</t>
        </is>
      </c>
    </row>
    <row r="9" ht="58" customHeight="1">
      <c r="A9" s="9" t="inlineStr">
        <is>
          <t>M01</t>
        </is>
      </c>
      <c r="B9" s="9" t="n">
        <v>4</v>
      </c>
      <c r="C9" s="9" t="inlineStr">
        <is>
          <t>00:19–00:27</t>
        </is>
      </c>
      <c r="D9" s="11" t="inlineStr">
        <is>
          <t>Bukti</t>
        </is>
      </c>
      <c r="E9" s="5" t="inlineStr">
        <is>
          <t>Grafik tren &amp; Compliance Score</t>
        </is>
      </c>
      <c r="F9" s="5" t="inlineStr">
        <is>
          <t>motion/assets/app/dashboard-postur.png</t>
        </is>
      </c>
      <c r="G9" s="5" t="inlineStr">
        <is>
          <t>Siap pakai. Sorot lingkaran Compliance Score + garis tren</t>
        </is>
      </c>
      <c r="H9" s="5" t="inlineStr">
        <is>
          <t>Tren per modul, bukan tebakan</t>
        </is>
      </c>
      <c r="I9" s="5" t="inlineStr">
        <is>
          <t>Tren tiap modul dan skor kepatuhan terlihat dari data kerja harian, bukan tebakan.</t>
        </is>
      </c>
      <c r="J9" s="5" t="inlineStr">
        <is>
          <t>pop</t>
        </is>
      </c>
    </row>
    <row r="10" ht="58" customHeight="1">
      <c r="A10" s="9" t="inlineStr">
        <is>
          <t>M01</t>
        </is>
      </c>
      <c r="B10" s="9" t="n">
        <v>5</v>
      </c>
      <c r="C10" s="9" t="inlineStr">
        <is>
          <t>00:27–00:35</t>
        </is>
      </c>
      <c r="D10" s="11" t="inlineStr">
        <is>
          <t>Bukti</t>
        </is>
      </c>
      <c r="E10" s="5" t="inlineStr">
        <is>
          <t>Heatmap risiko</t>
        </is>
      </c>
      <c r="F10" s="5" t="inlineStr">
        <is>
          <t>motion/assets/app/dashboard-risiko.png</t>
        </is>
      </c>
      <c r="G10" s="5" t="inlineStr">
        <is>
          <t>Siap pakai. Sorot heatmap DPIA 5×5 + Top Risks</t>
        </is>
      </c>
      <c r="H10" s="5" t="inlineStr">
        <is>
          <t>Risiko teratas langsung kelihatan</t>
        </is>
      </c>
      <c r="I10" s="5" t="inlineStr">
        <is>
          <t>Risiko tertinggi langsung kelihatan: heatmap DPIA dan daftar risiko teratas.</t>
        </is>
      </c>
      <c r="J10" s="5" t="inlineStr">
        <is>
          <t>pop</t>
        </is>
      </c>
    </row>
    <row r="11" ht="58" customHeight="1">
      <c r="A11" s="9" t="inlineStr">
        <is>
          <t>M01</t>
        </is>
      </c>
      <c r="B11" s="9" t="n">
        <v>6</v>
      </c>
      <c r="C11" s="9" t="inlineStr">
        <is>
          <t>00:35–00:43</t>
        </is>
      </c>
      <c r="D11" s="11" t="inlineStr">
        <is>
          <t>Bukti</t>
        </is>
      </c>
      <c r="E11" s="5" t="inlineStr">
        <is>
          <t>Privacy Posture Score</t>
        </is>
      </c>
      <c r="F11" s="5" t="inlineStr">
        <is>
          <t>frontend/tmp/audit4/security.png</t>
        </is>
      </c>
      <c r="G11" s="5" t="inlineStr">
        <is>
          <t>Crop [200,40,1240,820]. Blur nama org [300,22,200,26]; buang sidebar (x&lt;200). Sorot skor 56 + tiga lapisan</t>
        </is>
      </c>
      <c r="H11" s="5" t="inlineStr">
        <is>
          <t>Postur privasi: data · proses · respons</t>
        </is>
      </c>
      <c r="I11" s="5" t="inlineStr">
        <is>
          <t>Postur privasi dihitung dari tiga lapisan: data, proses, dan respons.</t>
        </is>
      </c>
      <c r="J11" s="5" t="inlineStr">
        <is>
          <t>ding</t>
        </is>
      </c>
    </row>
    <row r="12" ht="58" customHeight="1">
      <c r="A12" s="28" t="inlineStr">
        <is>
          <t>M01</t>
        </is>
      </c>
      <c r="B12" s="28" t="n">
        <v>7</v>
      </c>
      <c r="C12" s="28" t="inlineStr">
        <is>
          <t>00:43–00:50</t>
        </is>
      </c>
      <c r="D12" s="37" t="inlineStr">
        <is>
          <t>CTA</t>
        </is>
      </c>
      <c r="E12" s="38" t="inlineStr">
        <is>
          <t>Logo Privasimu Nexus + tombol</t>
        </is>
      </c>
      <c r="F12" s="38" t="inlineStr">
        <is>
          <t>—</t>
        </is>
      </c>
      <c r="G12" s="38" t="inlineStr">
        <is>
          <t>—</t>
        </is>
      </c>
      <c r="H12" s="38" t="inlineStr">
        <is>
          <t>Rapat berikutnya: cukup satu layar.</t>
        </is>
      </c>
      <c r="I12" s="38" t="inlineStr">
        <is>
          <t>Privasimu Nexus. Kepatuhan yang bisa dibaca sekilas. Coba di privasimu dot com.</t>
        </is>
      </c>
      <c r="J12" s="38" t="inlineStr">
        <is>
          <t>sonic logo</t>
        </is>
      </c>
    </row>
    <row r="14" ht="36" customHeight="1">
      <c r="A14" s="43" t="inlineStr">
        <is>
          <t>M02 · GAP Assessment · "Jangan cek skor kepatuhanmu…" · 55 dtk · Hook (Reverse psychology): Jangan cek skor kepatuhan perusahaanmu… kalau belum siap kaget.</t>
        </is>
      </c>
    </row>
    <row r="15" ht="58" customHeight="1">
      <c r="A15" s="29" t="inlineStr">
        <is>
          <t>M02</t>
        </is>
      </c>
      <c r="B15" s="29" t="n">
        <v>1</v>
      </c>
      <c r="C15" s="29" t="inlineStr">
        <is>
          <t>00:00–00:04</t>
        </is>
      </c>
      <c r="D15" s="31" t="inlineStr">
        <is>
          <t>Hook</t>
        </is>
      </c>
      <c r="E15" s="30" t="inlineStr">
        <is>
          <t>Kursor mau klik "Mulai Assessment", lalu tangan menahan</t>
        </is>
      </c>
      <c r="F15" s="30" t="inlineStr">
        <is>
          <t>—</t>
        </is>
      </c>
      <c r="G15" s="30" t="inlineStr">
        <is>
          <t>—</t>
        </is>
      </c>
      <c r="H15" s="30" t="inlineStr">
        <is>
          <t>Jangan cek skor kepatuhanmu…</t>
        </is>
      </c>
      <c r="I15" s="30" t="inlineStr">
        <is>
          <t>Jangan cek skor kepatuhan perusahaanmu…</t>
        </is>
      </c>
      <c r="J15" s="30" t="inlineStr">
        <is>
          <t>hening</t>
        </is>
      </c>
    </row>
    <row r="16" ht="58" customHeight="1">
      <c r="A16" s="29" t="inlineStr">
        <is>
          <t>M02</t>
        </is>
      </c>
      <c r="B16" s="29" t="n">
        <v>2</v>
      </c>
      <c r="C16" s="29" t="inlineStr">
        <is>
          <t>00:04–00:08</t>
        </is>
      </c>
      <c r="D16" s="31" t="inlineStr">
        <is>
          <t>Hook</t>
        </is>
      </c>
      <c r="E16" s="30" t="inlineStr">
        <is>
          <t>Emoji 😬 membesar</t>
        </is>
      </c>
      <c r="F16" s="30" t="inlineStr">
        <is>
          <t>—</t>
        </is>
      </c>
      <c r="G16" s="30" t="inlineStr">
        <is>
          <t>—</t>
        </is>
      </c>
      <c r="H16" s="30" t="inlineStr">
        <is>
          <t>…kalau belum siap kaget.</t>
        </is>
      </c>
      <c r="I16" s="30" t="inlineStr">
        <is>
          <t>…kalau belum siap kaget.</t>
        </is>
      </c>
      <c r="J16" s="30" t="inlineStr">
        <is>
          <t>vine boom</t>
        </is>
      </c>
    </row>
    <row r="17" ht="58" customHeight="1">
      <c r="A17" s="9" t="inlineStr">
        <is>
          <t>M02</t>
        </is>
      </c>
      <c r="B17" s="9" t="n">
        <v>3</v>
      </c>
      <c r="C17" s="9" t="inlineStr">
        <is>
          <t>00:08–00:15</t>
        </is>
      </c>
      <c r="D17" s="11" t="inlineStr">
        <is>
          <t>Masalah</t>
        </is>
      </c>
      <c r="E17" s="5" t="inlineStr">
        <is>
          <t>Tanda "≠" di antara "merasa patuh" dan "patuh"</t>
        </is>
      </c>
      <c r="F17" s="5" t="inlineStr">
        <is>
          <t>—</t>
        </is>
      </c>
      <c r="G17" s="5" t="inlineStr">
        <is>
          <t>—</t>
        </is>
      </c>
      <c r="H17" s="5" t="inlineStr">
        <is>
          <t>Merasa patuh ≠ patuh</t>
        </is>
      </c>
      <c r="I17" s="5" t="inlineStr">
        <is>
          <t>Banyak organisasi merasa sudah patuh. Tapi perasaan bukan bukti.</t>
        </is>
      </c>
      <c r="J17" s="5" t="inlineStr">
        <is>
          <t>buzzer</t>
        </is>
      </c>
    </row>
    <row r="18" ht="58" customHeight="1">
      <c r="A18" s="9" t="inlineStr">
        <is>
          <t>M02</t>
        </is>
      </c>
      <c r="B18" s="9" t="n">
        <v>4</v>
      </c>
      <c r="C18" s="9" t="inlineStr">
        <is>
          <t>00:15–00:25</t>
        </is>
      </c>
      <c r="D18" s="11" t="inlineStr">
        <is>
          <t>Solusi</t>
        </is>
      </c>
      <c r="E18" s="5" t="inlineStr">
        <is>
          <t>Daftar asesmen &amp; grafik skor</t>
        </is>
      </c>
      <c r="F18" s="5" t="inlineStr">
        <is>
          <t>dataroom/03-tenant/gap-assessment/01-overview.png</t>
        </is>
      </c>
      <c r="G18" s="5" t="inlineStr">
        <is>
          <t>Crop [262,40,1002,640]. Blur blok user sidebar [0,470,262,140] atau crop mulai x=262. Sorot 81% skor tertinggi &amp; 73% rata-rata</t>
        </is>
      </c>
      <c r="H18" s="5" t="inlineStr">
        <is>
          <t>Ukur, jangan menebak</t>
        </is>
      </c>
      <c r="I18" s="5" t="inlineStr">
        <is>
          <t>GAP Assessment mengukur kepatuhan UU PDP dengan indikator yang jelas, lengkap dengan skor dan riwayatnya.</t>
        </is>
      </c>
      <c r="J18" s="5" t="inlineStr">
        <is>
          <t>whoosh</t>
        </is>
      </c>
    </row>
    <row r="19" ht="58" customHeight="1">
      <c r="A19" s="9" t="inlineStr">
        <is>
          <t>M02</t>
        </is>
      </c>
      <c r="B19" s="9" t="n">
        <v>5</v>
      </c>
      <c r="C19" s="9" t="inlineStr">
        <is>
          <t>00:25–00:35</t>
        </is>
      </c>
      <c r="D19" s="11" t="inlineStr">
        <is>
          <t>Bukti</t>
        </is>
      </c>
      <c r="E19" s="5" t="inlineStr">
        <is>
          <t>Hasil per area</t>
        </is>
      </c>
      <c r="F19" s="5" t="inlineStr">
        <is>
          <t>motion/assets/app/gap-hasil.png</t>
        </is>
      </c>
      <c r="G19" s="5" t="inlineStr">
        <is>
          <t>Siap pakai. Sorot compliance score + statistik per area</t>
        </is>
      </c>
      <c r="H19" s="5" t="inlineStr">
        <is>
          <t>Kelihatan mana yang belum</t>
        </is>
      </c>
      <c r="I19" s="5" t="inlineStr">
        <is>
          <t>Hasilnya dirinci per area, jadi kelihatan mana yang sudah dan mana yang belum.</t>
        </is>
      </c>
      <c r="J19" s="5" t="inlineStr">
        <is>
          <t>pop</t>
        </is>
      </c>
    </row>
    <row r="20" ht="58" customHeight="1">
      <c r="A20" s="9" t="inlineStr">
        <is>
          <t>M02</t>
        </is>
      </c>
      <c r="B20" s="9" t="n">
        <v>6</v>
      </c>
      <c r="C20" s="9" t="inlineStr">
        <is>
          <t>00:35–00:45</t>
        </is>
      </c>
      <c r="D20" s="11" t="inlineStr">
        <is>
          <t>Bukti</t>
        </is>
      </c>
      <c r="E20" s="5" t="inlineStr">
        <is>
          <t>Rekomendasi per pasal</t>
        </is>
      </c>
      <c r="F20" s="5" t="inlineStr">
        <is>
          <t>motion/assets/app/gap-rekomendasi.png</t>
        </is>
      </c>
      <c r="G20" s="5" t="inlineStr">
        <is>
          <t>Siap pakai. Sorot label CRITICAL/HIGH + tombol AI Remediation Plan</t>
        </is>
      </c>
      <c r="H20" s="5" t="inlineStr">
        <is>
          <t>Rekomendasi per pasal</t>
        </is>
      </c>
      <c r="I20" s="5" t="inlineStr">
        <is>
          <t>Tiap temuan punya rekomendasi per pasal, dan rencana remediasi bisa disusun dengan bantuan AI.</t>
        </is>
      </c>
      <c r="J20" s="5" t="inlineStr">
        <is>
          <t>ding</t>
        </is>
      </c>
    </row>
    <row r="21" ht="58" customHeight="1">
      <c r="A21" s="9" t="inlineStr">
        <is>
          <t>M02</t>
        </is>
      </c>
      <c r="B21" s="9" t="n">
        <v>7</v>
      </c>
      <c r="C21" s="9" t="inlineStr">
        <is>
          <t>00:45–00:50</t>
        </is>
      </c>
      <c r="D21" s="11" t="inlineStr">
        <is>
          <t>Bukti</t>
        </is>
      </c>
      <c r="E21" s="5" t="inlineStr">
        <is>
          <t>Ikon dokumen masuk ke AI</t>
        </is>
      </c>
      <c r="F21" s="5" t="inlineStr">
        <is>
          <t>—</t>
        </is>
      </c>
      <c r="G21" s="5" t="inlineStr">
        <is>
          <t>—</t>
        </is>
      </c>
      <c r="H21" s="5" t="inlineStr">
        <is>
          <t>Dokumen bukti dianalisis AI</t>
        </is>
      </c>
      <c r="I21" s="5" t="inlineStr">
        <is>
          <t>Dokumen bukti pun bisa dianalisis AI per pertanyaan.</t>
        </is>
      </c>
      <c r="J21" s="5" t="inlineStr">
        <is>
          <t>shimmer</t>
        </is>
      </c>
    </row>
    <row r="22" ht="58" customHeight="1">
      <c r="A22" s="28" t="inlineStr">
        <is>
          <t>M02</t>
        </is>
      </c>
      <c r="B22" s="28" t="n">
        <v>8</v>
      </c>
      <c r="C22" s="28" t="inlineStr">
        <is>
          <t>00:50–00:55</t>
        </is>
      </c>
      <c r="D22" s="37" t="inlineStr">
        <is>
          <t>CTA</t>
        </is>
      </c>
      <c r="E22" s="38" t="inlineStr">
        <is>
          <t>Logo + tombol Start Pre Check</t>
        </is>
      </c>
      <c r="F22" s="38" t="inlineStr">
        <is>
          <t>—</t>
        </is>
      </c>
      <c r="G22" s="38" t="inlineStr">
        <is>
          <t>—</t>
        </is>
      </c>
      <c r="H22" s="38" t="inlineStr">
        <is>
          <t>Siap kaget? Mulai gratis.</t>
        </is>
      </c>
      <c r="I22" s="38" t="inlineStr">
        <is>
          <t>Berani cek? Mulai dari Start Pre Check gratis di privasimu dot com.</t>
        </is>
      </c>
      <c r="J22" s="38" t="inlineStr">
        <is>
          <t>sonic logo</t>
        </is>
      </c>
    </row>
    <row r="24" ht="36" customHeight="1">
      <c r="A24" s="43" t="inlineStr">
        <is>
          <t>M03 · Maturity Assessment · "Patuh itu bukan ya/tidak" · 50 dtk · Hook (Logika dipatahkan): "Sudah patuh atau belum?" itu pertanyaan yang salah.</t>
        </is>
      </c>
    </row>
    <row r="25" ht="58" customHeight="1">
      <c r="A25" s="29" t="inlineStr">
        <is>
          <t>M03</t>
        </is>
      </c>
      <c r="B25" s="29" t="n">
        <v>1</v>
      </c>
      <c r="C25" s="29" t="inlineStr">
        <is>
          <t>00:00–00:04</t>
        </is>
      </c>
      <c r="D25" s="31" t="inlineStr">
        <is>
          <t>Hook</t>
        </is>
      </c>
      <c r="E25" s="30" t="inlineStr">
        <is>
          <t>Teks pertanyaan dicoret</t>
        </is>
      </c>
      <c r="F25" s="30" t="inlineStr">
        <is>
          <t>—</t>
        </is>
      </c>
      <c r="G25" s="30" t="inlineStr">
        <is>
          <t>—</t>
        </is>
      </c>
      <c r="H25" s="30" t="inlineStr">
        <is>
          <t>"Sudah patuh atau belum?" ❌</t>
        </is>
      </c>
      <c r="I25" s="30" t="inlineStr">
        <is>
          <t>Sudah patuh atau belum? Itu pertanyaan yang salah.</t>
        </is>
      </c>
      <c r="J25" s="30" t="inlineStr">
        <is>
          <t>buzzer</t>
        </is>
      </c>
    </row>
    <row r="26" ht="58" customHeight="1">
      <c r="A26" s="9" t="inlineStr">
        <is>
          <t>M03</t>
        </is>
      </c>
      <c r="B26" s="9" t="n">
        <v>2</v>
      </c>
      <c r="C26" s="9" t="inlineStr">
        <is>
          <t>00:04–00:10</t>
        </is>
      </c>
      <c r="D26" s="11" t="inlineStr">
        <is>
          <t>Konsep</t>
        </is>
      </c>
      <c r="E26" s="5" t="inlineStr">
        <is>
          <t>Tangga 4 anak tangga: Ad-hoc → Defined → Managed → Optimized</t>
        </is>
      </c>
      <c r="F26" s="5" t="inlineStr">
        <is>
          <t>—</t>
        </is>
      </c>
      <c r="G26" s="5" t="inlineStr">
        <is>
          <t>—</t>
        </is>
      </c>
      <c r="H26" s="5" t="inlineStr">
        <is>
          <t>Kepatuhan itu bertingkat</t>
        </is>
      </c>
      <c r="I26" s="5" t="inlineStr">
        <is>
          <t>Kepatuhan itu bertingkat, dari ad-hoc sampai teroptimasi.</t>
        </is>
      </c>
      <c r="J26" s="5" t="inlineStr">
        <is>
          <t>pop ×4</t>
        </is>
      </c>
    </row>
    <row r="27" ht="58" customHeight="1">
      <c r="A27" s="9" t="inlineStr">
        <is>
          <t>M03</t>
        </is>
      </c>
      <c r="B27" s="9" t="n">
        <v>3</v>
      </c>
      <c r="C27" s="9" t="inlineStr">
        <is>
          <t>00:10–00:22</t>
        </is>
      </c>
      <c r="D27" s="11" t="inlineStr">
        <is>
          <t>Solusi</t>
        </is>
      </c>
      <c r="E27" s="5" t="inlineStr">
        <is>
          <t>Gauge level kematangan</t>
        </is>
      </c>
      <c r="F27" s="5" t="inlineStr">
        <is>
          <t>dataroom/03-tenant/maturity/02-recheck.png</t>
        </is>
      </c>
      <c r="G27" s="5" t="inlineStr">
        <is>
          <t>Crop [262,40,1002,700]. Blur blok user sidebar [0,470,262,140] atau crop mulai x=262. Sorot gauge "Level 3 – Managed"</t>
        </is>
      </c>
      <c r="H27" s="5" t="inlineStr">
        <is>
          <t>Level kematanganmu, per domain</t>
        </is>
      </c>
      <c r="I27" s="5" t="inlineStr">
        <is>
          <t>Maturity Assessment memetakan level kematangan program PDP-mu per domain.</t>
        </is>
      </c>
      <c r="J27" s="5" t="inlineStr">
        <is>
          <t>whoosh</t>
        </is>
      </c>
    </row>
    <row r="28" ht="58" customHeight="1">
      <c r="A28" s="9" t="inlineStr">
        <is>
          <t>M03</t>
        </is>
      </c>
      <c r="B28" s="9" t="n">
        <v>4</v>
      </c>
      <c r="C28" s="9" t="inlineStr">
        <is>
          <t>00:22–00:32</t>
        </is>
      </c>
      <c r="D28" s="11" t="inlineStr">
        <is>
          <t>Bukti</t>
        </is>
      </c>
      <c r="E28" s="5" t="inlineStr">
        <is>
          <t>Skor domain &amp; tren 12 bulan</t>
        </is>
      </c>
      <c r="F28" s="5" t="inlineStr">
        <is>
          <t>dataroom/03-tenant/maturity/02-recheck.png</t>
        </is>
      </c>
      <c r="G28" s="5" t="inlineStr">
        <is>
          <t>Sorot skor domain (9.0 / 8.5 / 7.0) + grafik tren</t>
        </is>
      </c>
      <c r="H28" s="5" t="inlineStr">
        <is>
          <t>Mana kuat, mana perlu naik kelas</t>
        </is>
      </c>
      <c r="I28" s="5" t="inlineStr">
        <is>
          <t>Kelihatan domain mana yang kuat, mana yang perlu naik kelas, dan trennya dari waktu ke waktu.</t>
        </is>
      </c>
      <c r="J28" s="5" t="inlineStr">
        <is>
          <t>ding</t>
        </is>
      </c>
    </row>
    <row r="29" ht="58" customHeight="1">
      <c r="A29" s="9" t="inlineStr">
        <is>
          <t>M03</t>
        </is>
      </c>
      <c r="B29" s="9" t="n">
        <v>5</v>
      </c>
      <c r="C29" s="9" t="inlineStr">
        <is>
          <t>00:32–00:40</t>
        </is>
      </c>
      <c r="D29" s="11" t="inlineStr">
        <is>
          <t>Bukti</t>
        </is>
      </c>
      <c r="E29" s="5" t="inlineStr">
        <is>
          <t>Ikon bukti dokumen → rekomendasi</t>
        </is>
      </c>
      <c r="F29" s="5" t="inlineStr">
        <is>
          <t>—</t>
        </is>
      </c>
      <c r="G29" s="5" t="inlineStr">
        <is>
          <t>—</t>
        </is>
      </c>
      <c r="H29" s="5" t="inlineStr">
        <is>
          <t>Bukti dianalisis AI · rekomendasi</t>
        </is>
      </c>
      <c r="I29" s="5" t="inlineStr">
        <is>
          <t>Bukti dokumen dianalisis AI, lalu keluar rekomendasi peningkatan.</t>
        </is>
      </c>
      <c r="J29" s="5" t="inlineStr">
        <is>
          <t>shimmer</t>
        </is>
      </c>
    </row>
    <row r="30" ht="58" customHeight="1">
      <c r="A30" s="28" t="inlineStr">
        <is>
          <t>M03</t>
        </is>
      </c>
      <c r="B30" s="28" t="n">
        <v>6</v>
      </c>
      <c r="C30" s="28" t="inlineStr">
        <is>
          <t>00:40–00:50</t>
        </is>
      </c>
      <c r="D30" s="37" t="inlineStr">
        <is>
          <t>CTA</t>
        </is>
      </c>
      <c r="E30" s="38" t="inlineStr">
        <is>
          <t>Logo + konsultan</t>
        </is>
      </c>
      <c r="F30" s="38" t="inlineStr">
        <is>
          <t>—</t>
        </is>
      </c>
      <c r="G30" s="38" t="inlineStr">
        <is>
          <t>—</t>
        </is>
      </c>
      <c r="H30" s="38" t="inlineStr">
        <is>
          <t>Naik level bersama konsultan</t>
        </is>
      </c>
      <c r="I30" s="38" t="inlineStr">
        <is>
          <t>Mau naik level? Susun roadmap-nya bersama konsultan Privasimu.</t>
        </is>
      </c>
      <c r="J30" s="38" t="inlineStr">
        <is>
          <t>sonic logo</t>
        </is>
      </c>
    </row>
    <row r="32" ht="36" customHeight="1">
      <c r="A32" s="43" t="inlineStr">
        <is>
          <t>M04 · RoPA · "RoPA_final_revisi3_FIX.xlsx harus pensiun" · 60 dtk · Hook (Relate): Angkat tangan kalau kamu punya file bernama "RoPA_final_revisi3_FIX.xlsx".</t>
        </is>
      </c>
    </row>
    <row r="33" ht="58" customHeight="1">
      <c r="A33" s="29" t="inlineStr">
        <is>
          <t>M04</t>
        </is>
      </c>
      <c r="B33" s="29" t="n">
        <v>1</v>
      </c>
      <c r="C33" s="29" t="inlineStr">
        <is>
          <t>00:00–00:04</t>
        </is>
      </c>
      <c r="D33" s="31" t="inlineStr">
        <is>
          <t>Hook</t>
        </is>
      </c>
      <c r="E33" s="30" t="inlineStr">
        <is>
          <t>Ikon file spreadsheet dengan nama versi kacau</t>
        </is>
      </c>
      <c r="F33" s="30" t="inlineStr">
        <is>
          <t>—</t>
        </is>
      </c>
      <c r="G33" s="30" t="inlineStr">
        <is>
          <t>—</t>
        </is>
      </c>
      <c r="H33" s="30" t="inlineStr">
        <is>
          <t>Siapa yang punya file ini? 🙋</t>
        </is>
      </c>
      <c r="I33" s="30" t="inlineStr">
        <is>
          <t>Angkat tangan kalau kamu punya file bernama RoPA final revisi tiga FIX.</t>
        </is>
      </c>
      <c r="J33" s="30" t="inlineStr">
        <is>
          <t>pop</t>
        </is>
      </c>
    </row>
    <row r="34" ht="58" customHeight="1">
      <c r="A34" s="9" t="inlineStr">
        <is>
          <t>M04</t>
        </is>
      </c>
      <c r="B34" s="9" t="n">
        <v>2</v>
      </c>
      <c r="C34" s="9" t="inlineStr">
        <is>
          <t>00:04–00:10</t>
        </is>
      </c>
      <c r="D34" s="11" t="inlineStr">
        <is>
          <t>Masalah</t>
        </is>
      </c>
      <c r="E34" s="5" t="inlineStr">
        <is>
          <t>12 file dari 12 divisi beterbangan</t>
        </is>
      </c>
      <c r="F34" s="5" t="inlineStr">
        <is>
          <t>—</t>
        </is>
      </c>
      <c r="G34" s="5" t="inlineStr">
        <is>
          <t>—</t>
        </is>
      </c>
      <c r="H34" s="5" t="inlineStr">
        <is>
          <t>Tersebar · tanpa jejak · beda versi</t>
        </is>
      </c>
      <c r="I34" s="5" t="inlineStr">
        <is>
          <t>Catatan pemrosesan tersebar di spreadsheet per divisi, tanpa jejak siapa mengubah apa.</t>
        </is>
      </c>
      <c r="J34" s="5" t="inlineStr">
        <is>
          <t>paper</t>
        </is>
      </c>
    </row>
    <row r="35" ht="58" customHeight="1">
      <c r="A35" s="9" t="inlineStr">
        <is>
          <t>M04</t>
        </is>
      </c>
      <c r="B35" s="9" t="n">
        <v>3</v>
      </c>
      <c r="C35" s="9" t="inlineStr">
        <is>
          <t>00:10–00:20</t>
        </is>
      </c>
      <c r="D35" s="11" t="inlineStr">
        <is>
          <t>Solusi</t>
        </is>
      </c>
      <c r="E35" s="5" t="inlineStr">
        <is>
          <t>Modal Buat RoPA Baru</t>
        </is>
      </c>
      <c r="F35" s="5" t="inlineStr">
        <is>
          <t>motion/assets/app/ropa-baru.png</t>
        </is>
      </c>
      <c r="G35" s="5" t="inlineStr">
        <is>
          <t>Siap pakai. Sorot modal wizard</t>
        </is>
      </c>
      <c r="H35" s="5" t="inlineStr">
        <is>
          <t>Wizard bertahap</t>
        </is>
      </c>
      <c r="I35" s="5" t="inlineStr">
        <is>
          <t>Di Nexus, RoPA dicatat lewat wizard bertahap: tujuan, dasar pemrosesan, kategori data, sampai retensi.</t>
        </is>
      </c>
      <c r="J35" s="5" t="inlineStr">
        <is>
          <t>whoosh</t>
        </is>
      </c>
    </row>
    <row r="36" ht="58" customHeight="1">
      <c r="A36" s="9" t="inlineStr">
        <is>
          <t>M04</t>
        </is>
      </c>
      <c r="B36" s="9" t="n">
        <v>4</v>
      </c>
      <c r="C36" s="9" t="inlineStr">
        <is>
          <t>00:20–00:28</t>
        </is>
      </c>
      <c r="D36" s="11" t="inlineStr">
        <is>
          <t>Bukti</t>
        </is>
      </c>
      <c r="E36" s="5" t="inlineStr">
        <is>
          <t>Daftar data pribadi spesifik</t>
        </is>
      </c>
      <c r="F36" s="5" t="inlineStr">
        <is>
          <t>motion/assets/app/ropa-data-spesifik.png</t>
        </is>
      </c>
      <c r="G36" s="5" t="inlineStr">
        <is>
          <t>Siap pakai. Sorot daftar Data Pribadi Spesifik</t>
        </is>
      </c>
      <c r="H36" s="5" t="inlineStr">
        <is>
          <t>Data spesifik → risiko TINGGI</t>
        </is>
      </c>
      <c r="I36" s="5" t="inlineStr">
        <is>
          <t>Begitu ada data spesifik, risikonya otomatis ditandai tinggi…</t>
        </is>
      </c>
      <c r="J36" s="5" t="inlineStr">
        <is>
          <t>alarm ringan</t>
        </is>
      </c>
    </row>
    <row r="37" ht="58" customHeight="1">
      <c r="A37" s="9" t="inlineStr">
        <is>
          <t>M04</t>
        </is>
      </c>
      <c r="B37" s="9" t="n">
        <v>5</v>
      </c>
      <c r="C37" s="9" t="inlineStr">
        <is>
          <t>00:28–00:34</t>
        </is>
      </c>
      <c r="D37" s="11" t="inlineStr">
        <is>
          <t>Bukti</t>
        </is>
      </c>
      <c r="E37" s="5" t="inlineStr">
        <is>
          <t>Daftar DPIA</t>
        </is>
      </c>
      <c r="F37" s="5" t="inlineStr">
        <is>
          <t>motion/assets/app/dpia-list.png</t>
        </is>
      </c>
      <c r="G37" s="5" t="inlineStr">
        <is>
          <t>Siap pakai. Sorot baris DPIA terbaru</t>
        </is>
      </c>
      <c r="H37" s="5" t="inlineStr">
        <is>
          <t>…dan draf DPIA langsung dibuat</t>
        </is>
      </c>
      <c r="I37" s="5" t="inlineStr">
        <is>
          <t>…dan draf DPIA langsung dibuat.</t>
        </is>
      </c>
      <c r="J37" s="5" t="inlineStr">
        <is>
          <t>ding</t>
        </is>
      </c>
    </row>
    <row r="38" ht="58" customHeight="1">
      <c r="A38" s="9" t="inlineStr">
        <is>
          <t>M04</t>
        </is>
      </c>
      <c r="B38" s="9" t="n">
        <v>6</v>
      </c>
      <c r="C38" s="9" t="inlineStr">
        <is>
          <t>00:34–00:42</t>
        </is>
      </c>
      <c r="D38" s="11" t="inlineStr">
        <is>
          <t>Bukti</t>
        </is>
      </c>
      <c r="E38" s="5" t="inlineStr">
        <is>
          <t>Mode tinjauan menunggu persetujuan</t>
        </is>
      </c>
      <c r="F38" s="5" t="inlineStr">
        <is>
          <t>dataroom/03-tenant/ropa/03-review-mode-waiting.png</t>
        </is>
      </c>
      <c r="G38" s="5" t="inlineStr">
        <is>
          <t>Crop HANYA [262,40,1002,420] (bagian "Detail Pemrosesan"). JANGAN tampilkan bagian "DPO / Team" (ada email). Blur blok user sidebar [0,470,262,140] atau crop mulai x=262</t>
        </is>
      </c>
      <c r="H38" s="5" t="inlineStr">
        <is>
          <t>Maker → Reviewer → Approver</t>
        </is>
      </c>
      <c r="I38" s="5" t="inlineStr">
        <is>
          <t>Alurnya jelas: maker, reviewer, approver. Setiap perubahan tercatat di log audit.</t>
        </is>
      </c>
      <c r="J38" s="5" t="inlineStr">
        <is>
          <t>check</t>
        </is>
      </c>
    </row>
    <row r="39" ht="58" customHeight="1">
      <c r="A39" s="9" t="inlineStr">
        <is>
          <t>M04</t>
        </is>
      </c>
      <c r="B39" s="9" t="n">
        <v>7</v>
      </c>
      <c r="C39" s="9" t="inlineStr">
        <is>
          <t>00:42–00:50</t>
        </is>
      </c>
      <c r="D39" s="11" t="inlineStr">
        <is>
          <t>Bukti</t>
        </is>
      </c>
      <c r="E39" s="5" t="inlineStr">
        <is>
          <t>Notifikasi RoPA tersimpan</t>
        </is>
      </c>
      <c r="F39" s="5" t="inlineStr">
        <is>
          <t>motion/assets/app/ropa-tersimpan.png</t>
        </is>
      </c>
      <c r="G39" s="5" t="inlineStr">
        <is>
          <t>Siap pakai. Sorot notifikasi + kode ROPA</t>
        </is>
      </c>
      <c r="H39" s="5" t="inlineStr">
        <is>
          <t>Satu register, kode konsisten</t>
        </is>
      </c>
      <c r="I39" s="5" t="inlineStr">
        <is>
          <t>Hasilnya satu register terpusat dengan kode ROPA yang konsisten.</t>
        </is>
      </c>
      <c r="J39" s="5" t="inlineStr">
        <is>
          <t>correct</t>
        </is>
      </c>
    </row>
    <row r="40" ht="58" customHeight="1">
      <c r="A40" s="9" t="inlineStr">
        <is>
          <t>M04</t>
        </is>
      </c>
      <c r="B40" s="9" t="n">
        <v>8</v>
      </c>
      <c r="C40" s="9" t="inlineStr">
        <is>
          <t>00:50–00:55</t>
        </is>
      </c>
      <c r="D40" s="11" t="inlineStr">
        <is>
          <t>Bukti</t>
        </is>
      </c>
      <c r="E40" s="5" t="inlineStr">
        <is>
          <t>Form minta pihak ketiga mengisi RoPA</t>
        </is>
      </c>
      <c r="F40" s="5" t="inlineStr">
        <is>
          <t>frontend/tmp/audit4/vendor-risk__ropa-pihak-ketiga.png</t>
        </is>
      </c>
      <c r="G40" s="5" t="inlineStr">
        <is>
          <t>Crop [200,40,1240,300]. Blur nama org [300,22,200,26]; buang sidebar (x&lt;200)</t>
        </is>
      </c>
      <c r="H40" s="5" t="inlineStr">
        <is>
          <t>Pihak ketiga isi lewat tautan</t>
        </is>
      </c>
      <c r="I40" s="5" t="inlineStr">
        <is>
          <t>Pihak ketiga pun bisa mengisi RoPA-nya lewat tautan khusus.</t>
        </is>
      </c>
      <c r="J40" s="5" t="inlineStr">
        <is>
          <t>pop</t>
        </is>
      </c>
    </row>
    <row r="41" ht="58" customHeight="1">
      <c r="A41" s="28" t="inlineStr">
        <is>
          <t>M04</t>
        </is>
      </c>
      <c r="B41" s="28" t="n">
        <v>9</v>
      </c>
      <c r="C41" s="28" t="inlineStr">
        <is>
          <t>00:55–01:00</t>
        </is>
      </c>
      <c r="D41" s="37" t="inlineStr">
        <is>
          <t>CTA</t>
        </is>
      </c>
      <c r="E41" s="38" t="inlineStr">
        <is>
          <t>Ikon file lama dimasukkan ke "arsip", logo</t>
        </is>
      </c>
      <c r="F41" s="38" t="inlineStr">
        <is>
          <t>—</t>
        </is>
      </c>
      <c r="G41" s="38" t="inlineStr">
        <is>
          <t>—</t>
        </is>
      </c>
      <c r="H41" s="38" t="inlineStr">
        <is>
          <t>Pensiunkan revisi ketiga.</t>
        </is>
      </c>
      <c r="I41" s="38" t="inlineStr">
        <is>
          <t>Saatnya pensiunkan revisi ketiga. Privasimu Nexus.</t>
        </is>
      </c>
      <c r="J41" s="38" t="inlineStr">
        <is>
          <t>sonic logo</t>
        </is>
      </c>
    </row>
    <row r="43" ht="36" customHeight="1">
      <c r="A43" s="43" t="inlineStr">
        <is>
          <t>M05 · DPIA &amp; Risk Treatment Plan · "Nilai dulu, baru meluncur" · 60 dtk · Hook (Anomali): Proyek paling berisiko di kantormu… biasanya proyek yang paling ditunggu-tunggu.</t>
        </is>
      </c>
    </row>
    <row r="44" ht="58" customHeight="1">
      <c r="A44" s="29" t="inlineStr">
        <is>
          <t>M05</t>
        </is>
      </c>
      <c r="B44" s="29" t="n">
        <v>1</v>
      </c>
      <c r="C44" s="29" t="inlineStr">
        <is>
          <t>00:00–00:04</t>
        </is>
      </c>
      <c r="D44" s="31" t="inlineStr">
        <is>
          <t>Hook</t>
        </is>
      </c>
      <c r="E44" s="30" t="inlineStr">
        <is>
          <t>Roket "Aplikasi Baru" siap meluncur, lalu lampu alarm</t>
        </is>
      </c>
      <c r="F44" s="30" t="inlineStr">
        <is>
          <t>—</t>
        </is>
      </c>
      <c r="G44" s="30" t="inlineStr">
        <is>
          <t>—</t>
        </is>
      </c>
      <c r="H44" s="30" t="inlineStr">
        <is>
          <t>Proyek paling berisiko = yang paling ditunggu?</t>
        </is>
      </c>
      <c r="I44" s="30" t="inlineStr">
        <is>
          <t>Proyek paling berisiko di kantormu… biasanya yang paling ditunggu-tunggu.</t>
        </is>
      </c>
      <c r="J44" s="30" t="inlineStr">
        <is>
          <t>riser + alarm</t>
        </is>
      </c>
    </row>
    <row r="45" ht="58" customHeight="1">
      <c r="A45" s="9" t="inlineStr">
        <is>
          <t>M05</t>
        </is>
      </c>
      <c r="B45" s="9" t="n">
        <v>2</v>
      </c>
      <c r="C45" s="9" t="inlineStr">
        <is>
          <t>00:04–00:10</t>
        </is>
      </c>
      <c r="D45" s="11" t="inlineStr">
        <is>
          <t>Masalah</t>
        </is>
      </c>
      <c r="E45" s="5" t="inlineStr">
        <is>
          <t>Dua penilai memberi skor berbeda untuk risiko yang sama</t>
        </is>
      </c>
      <c r="F45" s="5" t="inlineStr">
        <is>
          <t>—</t>
        </is>
      </c>
      <c r="G45" s="5" t="inlineStr">
        <is>
          <t>—</t>
        </is>
      </c>
      <c r="H45" s="5" t="inlineStr">
        <is>
          <t>Dokumen terpisah · skor beda-beda</t>
        </is>
      </c>
      <c r="I45" s="5" t="inlineStr">
        <is>
          <t>Penilaian dampak sering dikerjakan terpisah, dan skornya beda-beda tiap penilai.</t>
        </is>
      </c>
      <c r="J45" s="5" t="inlineStr">
        <is>
          <t>buzzer</t>
        </is>
      </c>
    </row>
    <row r="46" ht="58" customHeight="1">
      <c r="A46" s="9" t="inlineStr">
        <is>
          <t>M05</t>
        </is>
      </c>
      <c r="B46" s="9" t="n">
        <v>3</v>
      </c>
      <c r="C46" s="9" t="inlineStr">
        <is>
          <t>00:10–00:20</t>
        </is>
      </c>
      <c r="D46" s="11" t="inlineStr">
        <is>
          <t>Solusi</t>
        </is>
      </c>
      <c r="E46" s="5" t="inlineStr">
        <is>
          <t>Daftar DPIA</t>
        </is>
      </c>
      <c r="F46" s="5" t="inlineStr">
        <is>
          <t>motion/assets/app/dpia-list-baru.png</t>
        </is>
      </c>
      <c r="G46" s="5" t="inlineStr">
        <is>
          <t>Siap pakai. Sorot kolom referensi RoPA</t>
        </is>
      </c>
      <c r="H46" s="5" t="inlineStr">
        <is>
          <t>Tertaut ke RoPA-nya</t>
        </is>
      </c>
      <c r="I46" s="5" t="inlineStr">
        <is>
          <t>Di Nexus, setiap DPIA tertaut ke RoPA sumbernya.</t>
        </is>
      </c>
      <c r="J46" s="5" t="inlineStr">
        <is>
          <t>whoosh</t>
        </is>
      </c>
    </row>
    <row r="47" ht="58" customHeight="1">
      <c r="A47" s="9" t="inlineStr">
        <is>
          <t>M05</t>
        </is>
      </c>
      <c r="B47" s="9" t="n">
        <v>4</v>
      </c>
      <c r="C47" s="9" t="inlineStr">
        <is>
          <t>00:20–00:30</t>
        </is>
      </c>
      <c r="D47" s="11" t="inlineStr">
        <is>
          <t>Bukti</t>
        </is>
      </c>
      <c r="E47" s="5" t="inlineStr">
        <is>
          <t>Wizard potensi risiko</t>
        </is>
      </c>
      <c r="F47" s="5" t="inlineStr">
        <is>
          <t>motion/assets/app/dpia-risiko.png</t>
        </is>
      </c>
      <c r="G47" s="5" t="inlineStr">
        <is>
          <t>Siap pakai. Sorot kategori risiko</t>
        </is>
      </c>
      <c r="H47" s="5" t="inlineStr">
        <is>
          <t>Satu matriks 5×5</t>
        </is>
      </c>
      <c r="I47" s="5" t="inlineStr">
        <is>
          <t>Risiko dinilai dengan satu matriks kemungkinan kali dampak, skala lima kali lima.</t>
        </is>
      </c>
      <c r="J47" s="5" t="inlineStr">
        <is>
          <t>pop</t>
        </is>
      </c>
    </row>
    <row r="48" ht="58" customHeight="1">
      <c r="A48" s="9" t="inlineStr">
        <is>
          <t>M05</t>
        </is>
      </c>
      <c r="B48" s="9" t="n">
        <v>5</v>
      </c>
      <c r="C48" s="9" t="inlineStr">
        <is>
          <t>00:30–00:38</t>
        </is>
      </c>
      <c r="D48" s="11" t="inlineStr">
        <is>
          <t>Bukti</t>
        </is>
      </c>
      <c r="E48" s="5" t="inlineStr">
        <is>
          <t>Heatmap risiko</t>
        </is>
      </c>
      <c r="F48" s="5" t="inlineStr">
        <is>
          <t>motion/assets/app/dashboard-risiko.png</t>
        </is>
      </c>
      <c r="G48" s="5" t="inlineStr">
        <is>
          <t>Siap pakai. Sorot heatmap</t>
        </is>
      </c>
      <c r="H48" s="5" t="inlineStr">
        <is>
          <t>Semua risiko di satu peta</t>
        </is>
      </c>
      <c r="I48" s="5" t="inlineStr">
        <is>
          <t>Semua risiko terkumpul di satu heatmap.</t>
        </is>
      </c>
      <c r="J48" s="5" t="inlineStr">
        <is>
          <t>ding</t>
        </is>
      </c>
    </row>
    <row r="49" ht="58" customHeight="1">
      <c r="A49" s="9" t="inlineStr">
        <is>
          <t>M05</t>
        </is>
      </c>
      <c r="B49" s="9" t="n">
        <v>6</v>
      </c>
      <c r="C49" s="9" t="inlineStr">
        <is>
          <t>00:38–00:48</t>
        </is>
      </c>
      <c r="D49" s="11" t="inlineStr">
        <is>
          <t>Bukti</t>
        </is>
      </c>
      <c r="E49" s="5" t="inlineStr">
        <is>
          <t>Risk Treatment Plan</t>
        </is>
      </c>
      <c r="F49" s="5" t="inlineStr">
        <is>
          <t>dataroom/03-tenant/risk-treatment-plan/01-overview.png</t>
        </is>
      </c>
      <c r="G49" s="5" t="inlineStr">
        <is>
          <t>Crop [262,40,1002,700]. BLUR kolom Owner &amp; filter "Semua Owner" (nama orang). Blur blok user sidebar [0,470,262,140] atau crop mulai x=262. Sorot baris "Penggunaan Dasar Pemrosesan yang Tidak Tepat"</t>
        </is>
      </c>
      <c r="H49" s="5" t="inlineStr">
        <is>
          <t>Mitigasi dipantau sampai tuntas</t>
        </is>
      </c>
      <c r="I49" s="5" t="inlineStr">
        <is>
          <t>Mitigasinya dipantau di Risk Treatment Plan, dari rencana sampai terverifikasi.</t>
        </is>
      </c>
      <c r="J49" s="5" t="inlineStr">
        <is>
          <t>check</t>
        </is>
      </c>
    </row>
    <row r="50" ht="58" customHeight="1">
      <c r="A50" s="9" t="inlineStr">
        <is>
          <t>M05</t>
        </is>
      </c>
      <c r="B50" s="9" t="n">
        <v>7</v>
      </c>
      <c r="C50" s="9" t="inlineStr">
        <is>
          <t>00:48–00:54</t>
        </is>
      </c>
      <c r="D50" s="11" t="inlineStr">
        <is>
          <t>Bukti</t>
        </is>
      </c>
      <c r="E50" s="5" t="inlineStr">
        <is>
          <t>Tombol "Lanjutkan dengan AI"</t>
        </is>
      </c>
      <c r="F50" s="5" t="inlineStr">
        <is>
          <t>dataroom/03-tenant/dpia/07-wizard-step4-audit.png</t>
        </is>
      </c>
      <c r="G50" s="5" t="inlineStr">
        <is>
          <t>Crop [262,40,1002,560]. Blur blok user sidebar [0,470,262,140] atau crop mulai x=262</t>
        </is>
      </c>
      <c r="H50" s="5" t="inlineStr">
        <is>
          <t>Dibantu AI</t>
        </is>
      </c>
      <c r="I50" s="5" t="inlineStr">
        <is>
          <t>Pengisiannya bisa dibantu AI dari deskripsi kegiatan.</t>
        </is>
      </c>
      <c r="J50" s="5" t="inlineStr">
        <is>
          <t>shimmer</t>
        </is>
      </c>
    </row>
    <row r="51" ht="58" customHeight="1">
      <c r="A51" s="28" t="inlineStr">
        <is>
          <t>M05</t>
        </is>
      </c>
      <c r="B51" s="28" t="n">
        <v>8</v>
      </c>
      <c r="C51" s="28" t="inlineStr">
        <is>
          <t>00:54–01:00</t>
        </is>
      </c>
      <c r="D51" s="37" t="inlineStr">
        <is>
          <t>CTA</t>
        </is>
      </c>
      <c r="E51" s="38" t="inlineStr">
        <is>
          <t>Roket meluncur mulus</t>
        </is>
      </c>
      <c r="F51" s="38" t="inlineStr">
        <is>
          <t>—</t>
        </is>
      </c>
      <c r="G51" s="38" t="inlineStr">
        <is>
          <t>—</t>
        </is>
      </c>
      <c r="H51" s="38" t="inlineStr">
        <is>
          <t>Nilai dulu, baru meluncur.</t>
        </is>
      </c>
      <c r="I51" s="38" t="inlineStr">
        <is>
          <t>Nilai dulu, baru meluncur. Privasimu Nexus.</t>
        </is>
      </c>
      <c r="J51" s="38" t="inlineStr">
        <is>
          <t>sonic logo</t>
        </is>
      </c>
    </row>
    <row r="53" ht="36" customHeight="1">
      <c r="A53" s="43" t="inlineStr">
        <is>
          <t>M06 · LIA (Legitimate Interest Assessment) · ""Kepentingan yang sah" bukan cek kosong" · 45 dtk · Hook (Logika dipatahkan): "Kan kita punya kepentingan yang sah." Kalimat ini bukan tiket bebas.</t>
        </is>
      </c>
    </row>
    <row r="54" ht="58" customHeight="1">
      <c r="A54" s="29" t="inlineStr">
        <is>
          <t>M06</t>
        </is>
      </c>
      <c r="B54" s="29" t="n">
        <v>1</v>
      </c>
      <c r="C54" s="29" t="inlineStr">
        <is>
          <t>00:00–00:04</t>
        </is>
      </c>
      <c r="D54" s="31" t="inlineStr">
        <is>
          <t>Hook</t>
        </is>
      </c>
      <c r="E54" s="30" t="inlineStr">
        <is>
          <t>Balon chat "kan ada kepentingan yang sah" → stempel "BELUM TENTU"</t>
        </is>
      </c>
      <c r="F54" s="30" t="inlineStr">
        <is>
          <t>—</t>
        </is>
      </c>
      <c r="G54" s="30" t="inlineStr">
        <is>
          <t>—</t>
        </is>
      </c>
      <c r="H54" s="30" t="inlineStr">
        <is>
          <t>"Kan ada kepentingan yang sah." BELUM TENTU.</t>
        </is>
      </c>
      <c r="I54" s="30" t="inlineStr">
        <is>
          <t>Kita kan punya kepentingan yang sah. Belum tentu.</t>
        </is>
      </c>
      <c r="J54" s="30" t="inlineStr">
        <is>
          <t>stamp</t>
        </is>
      </c>
    </row>
    <row r="55" ht="58" customHeight="1">
      <c r="A55" s="9" t="inlineStr">
        <is>
          <t>M06</t>
        </is>
      </c>
      <c r="B55" s="9" t="n">
        <v>2</v>
      </c>
      <c r="C55" s="9" t="inlineStr">
        <is>
          <t>00:04–00:14</t>
        </is>
      </c>
      <c r="D55" s="11" t="inlineStr">
        <is>
          <t>Fakta</t>
        </is>
      </c>
      <c r="E55" s="5" t="inlineStr">
        <is>
          <t>Kutipan pasal</t>
        </is>
      </c>
      <c r="F55" s="5" t="inlineStr">
        <is>
          <t>—</t>
        </is>
      </c>
      <c r="G55" s="5" t="inlineStr">
        <is>
          <t>—</t>
        </is>
      </c>
      <c r="H55" s="5" t="inlineStr">
        <is>
          <t>UU PDP Ps. 20 (2) f: memperhatikan tujuan, kebutuhan, dan keseimbangan kepentingan</t>
        </is>
      </c>
      <c r="I55" s="5" t="inlineStr">
        <is>
          <t>Undang-undang meminta tujuan, kebutuhan, dan keseimbangan kepentingan ditimbang, bukan diasumsikan.</t>
        </is>
      </c>
      <c r="J55" s="5" t="inlineStr">
        <is>
          <t>paper</t>
        </is>
      </c>
    </row>
    <row r="56" ht="58" customHeight="1">
      <c r="A56" s="9" t="inlineStr">
        <is>
          <t>M06</t>
        </is>
      </c>
      <c r="B56" s="9" t="n">
        <v>3</v>
      </c>
      <c r="C56" s="9" t="inlineStr">
        <is>
          <t>00:14–00:26</t>
        </is>
      </c>
      <c r="D56" s="11" t="inlineStr">
        <is>
          <t>Solusi</t>
        </is>
      </c>
      <c r="E56" s="5" t="inlineStr">
        <is>
          <t>Judul modul LIA</t>
        </is>
      </c>
      <c r="F56" s="5" t="inlineStr">
        <is>
          <t>frontend/tmp/audit4/lia.png</t>
        </is>
      </c>
      <c r="G56" s="5" t="inlineStr">
        <is>
          <t>Crop HANYA header [200,40,1240,160] (daftar masih kosong). Blur nama org [300,22,200,26]; buang sidebar (x&lt;200). Versi final: AMBIL SCREENSHOT BARU /lia berisi 2–3 LIA contoh</t>
        </is>
      </c>
      <c r="H56" s="5" t="inlineStr">
        <is>
          <t>LIA di Nexus</t>
        </is>
      </c>
      <c r="I56" s="5" t="inlineStr">
        <is>
          <t>Modul LIA memandu penilaian kepentingan yang sah, dengan alur draft, ditinjau, sampai disetujui.</t>
        </is>
      </c>
      <c r="J56" s="5" t="inlineStr">
        <is>
          <t>whoosh</t>
        </is>
      </c>
    </row>
    <row r="57" ht="58" customHeight="1">
      <c r="A57" s="35" t="inlineStr">
        <is>
          <t>M06</t>
        </is>
      </c>
      <c r="B57" s="35" t="n">
        <v>4</v>
      </c>
      <c r="C57" s="35" t="inlineStr">
        <is>
          <t>00:26–00:36</t>
        </is>
      </c>
      <c r="D57" s="44" t="inlineStr">
        <is>
          <t>Bukti</t>
        </is>
      </c>
      <c r="E57" s="42" t="inlineStr">
        <is>
          <t>Detail penilaian (pertanyaan tujuan/kebutuhan/keseimbangan)</t>
        </is>
      </c>
      <c r="F57" s="42" t="inlineStr">
        <is>
          <t>BELUM ADA: ambil screenshot detail LIA dengan data dummy</t>
        </is>
      </c>
      <c r="G57" s="42" t="inlineStr">
        <is>
          <t>—</t>
        </is>
      </c>
      <c r="H57" s="42" t="inlineStr">
        <is>
          <t>Terdokumentasi, siap ditunjukkan</t>
        </is>
      </c>
      <c r="I57" s="42" t="inlineStr">
        <is>
          <t>Setiap pertimbangan terdokumentasi, siap ditunjukkan saat diminta.</t>
        </is>
      </c>
      <c r="J57" s="42" t="inlineStr">
        <is>
          <t>check</t>
        </is>
      </c>
    </row>
    <row r="58" ht="58" customHeight="1">
      <c r="A58" s="28" t="inlineStr">
        <is>
          <t>M06</t>
        </is>
      </c>
      <c r="B58" s="28" t="n">
        <v>5</v>
      </c>
      <c r="C58" s="28" t="inlineStr">
        <is>
          <t>00:36–00:45</t>
        </is>
      </c>
      <c r="D58" s="37" t="inlineStr">
        <is>
          <t>CTA</t>
        </is>
      </c>
      <c r="E58" s="38" t="inlineStr">
        <is>
          <t>Logo</t>
        </is>
      </c>
      <c r="F58" s="38" t="inlineStr">
        <is>
          <t>—</t>
        </is>
      </c>
      <c r="G58" s="38" t="inlineStr">
        <is>
          <t>—</t>
        </is>
      </c>
      <c r="H58" s="38" t="inlineStr">
        <is>
          <t>Kepentingan sah? Buktikan.</t>
        </is>
      </c>
      <c r="I58" s="38" t="inlineStr">
        <is>
          <t>Kepentingan sah? Buktikan dengan LIA. Privasimu Nexus.</t>
        </is>
      </c>
      <c r="J58" s="38" t="inlineStr">
        <is>
          <t>sonic logo</t>
        </is>
      </c>
    </row>
    <row r="60" ht="36" customHeight="1">
      <c r="A60" s="43" t="inlineStr">
        <is>
          <t>M07 · DSR (Permohonan Hak Subjek Data) · "72 jam itu cepat. Apalagi kalau dihitung manual." · 60 dtk · Hook (Relate): Email yang paling ditakuti customer service: "Tolong hapus semua data saya."</t>
        </is>
      </c>
    </row>
    <row r="61" ht="58" customHeight="1">
      <c r="A61" s="29" t="inlineStr">
        <is>
          <t>M07</t>
        </is>
      </c>
      <c r="B61" s="29" t="n">
        <v>1</v>
      </c>
      <c r="C61" s="29" t="inlineStr">
        <is>
          <t>00:00–00:04</t>
        </is>
      </c>
      <c r="D61" s="31" t="inlineStr">
        <is>
          <t>Hook</t>
        </is>
      </c>
      <c r="E61" s="30" t="inlineStr">
        <is>
          <t>Email masuk, wajah CS 😰</t>
        </is>
      </c>
      <c r="F61" s="30" t="inlineStr">
        <is>
          <t>—</t>
        </is>
      </c>
      <c r="G61" s="30" t="inlineStr">
        <is>
          <t>—</t>
        </is>
      </c>
      <c r="H61" s="30" t="inlineStr">
        <is>
          <t>📩 "Tolong hapus semua data saya."</t>
        </is>
      </c>
      <c r="I61" s="30" t="inlineStr">
        <is>
          <t>Email yang paling ditakuti customer service: tolong hapus semua data saya.</t>
        </is>
      </c>
      <c r="J61" s="30" t="inlineStr">
        <is>
          <t>notif + vine boom</t>
        </is>
      </c>
    </row>
    <row r="62" ht="58" customHeight="1">
      <c r="A62" s="9" t="inlineStr">
        <is>
          <t>M07</t>
        </is>
      </c>
      <c r="B62" s="9" t="n">
        <v>2</v>
      </c>
      <c r="C62" s="9" t="inlineStr">
        <is>
          <t>00:04–00:10</t>
        </is>
      </c>
      <c r="D62" s="11" t="inlineStr">
        <is>
          <t>Masalah</t>
        </is>
      </c>
      <c r="E62" s="5" t="inlineStr">
        <is>
          <t>Permohonan dari email, telepon, DM; kalender dihitung jari</t>
        </is>
      </c>
      <c r="F62" s="5" t="inlineStr">
        <is>
          <t>—</t>
        </is>
      </c>
      <c r="G62" s="5" t="inlineStr">
        <is>
          <t>—</t>
        </is>
      </c>
      <c r="H62" s="5" t="inlineStr">
        <is>
          <t>Dari mana-mana · tenggat manual</t>
        </is>
      </c>
      <c r="I62" s="5" t="inlineStr">
        <is>
          <t>Permohonan masuk dari mana-mana, tenggatnya dihitung manual.</t>
        </is>
      </c>
      <c r="J62" s="5" t="inlineStr">
        <is>
          <t>tick</t>
        </is>
      </c>
    </row>
    <row r="63" ht="58" customHeight="1">
      <c r="A63" s="9" t="inlineStr">
        <is>
          <t>M07</t>
        </is>
      </c>
      <c r="B63" s="9" t="n">
        <v>3</v>
      </c>
      <c r="C63" s="9" t="inlineStr">
        <is>
          <t>00:10–00:18</t>
        </is>
      </c>
      <c r="D63" s="11" t="inlineStr">
        <is>
          <t>Solusi</t>
        </is>
      </c>
      <c r="E63" s="5" t="inlineStr">
        <is>
          <t>Formulir DSR</t>
        </is>
      </c>
      <c r="F63" s="5" t="inlineStr">
        <is>
          <t>motion/assets/app/dsr-form.png</t>
        </is>
      </c>
      <c r="G63" s="5" t="inlineStr">
        <is>
          <t>Siap pakai (kanban sudah diburamkan). Sorot isian pemohon &amp; tipe permintaan</t>
        </is>
      </c>
      <c r="H63" s="5" t="inlineStr">
        <is>
          <t>Formulir di situsmu</t>
        </is>
      </c>
      <c r="I63" s="5" t="inlineStr">
        <is>
          <t>Di Nexus, permohonan masuk lewat formulir yang bisa disematkan di situsmu.</t>
        </is>
      </c>
      <c r="J63" s="5" t="inlineStr">
        <is>
          <t>whoosh</t>
        </is>
      </c>
    </row>
    <row r="64" ht="58" customHeight="1">
      <c r="A64" s="9" t="inlineStr">
        <is>
          <t>M07</t>
        </is>
      </c>
      <c r="B64" s="9" t="n">
        <v>4</v>
      </c>
      <c r="C64" s="9" t="inlineStr">
        <is>
          <t>00:18–00:26</t>
        </is>
      </c>
      <c r="D64" s="11" t="inlineStr">
        <is>
          <t>Bukti</t>
        </is>
      </c>
      <c r="E64" s="5" t="inlineStr">
        <is>
          <t>Header detail DSR</t>
        </is>
      </c>
      <c r="F64" s="5" t="inlineStr">
        <is>
          <t>motion/assets/app/dsr-detail.png</t>
        </is>
      </c>
      <c r="G64" s="5" t="inlineStr">
        <is>
          <t>Siap pakai. Sorot pil "7h tersisa" + kode DSR</t>
        </is>
      </c>
      <c r="H64" s="5" t="inlineStr">
        <is>
          <t>Tenggat 72 jam otomatis</t>
        </is>
      </c>
      <c r="I64" s="5" t="inlineStr">
        <is>
          <t>Tenggat tujuh puluh dua jam dihitung otomatis sejak permohonan dicatat.</t>
        </is>
      </c>
      <c r="J64" s="5" t="inlineStr">
        <is>
          <t>clock</t>
        </is>
      </c>
    </row>
    <row r="65" ht="58" customHeight="1">
      <c r="A65" s="9" t="inlineStr">
        <is>
          <t>M07</t>
        </is>
      </c>
      <c r="B65" s="9" t="n">
        <v>5</v>
      </c>
      <c r="C65" s="9" t="inlineStr">
        <is>
          <t>00:26–00:34</t>
        </is>
      </c>
      <c r="D65" s="11" t="inlineStr">
        <is>
          <t>Bukti</t>
        </is>
      </c>
      <c r="E65" s="5" t="inlineStr">
        <is>
          <t>Tab Scope: pilih sistem</t>
        </is>
      </c>
      <c r="F65" s="5" t="inlineStr">
        <is>
          <t>dataroom/03-tenant/dsr/06-tab-scope.png</t>
        </is>
      </c>
      <c r="G65" s="5" t="inlineStr">
        <is>
          <t>Crop [262,40,1002,560]. Blur blok user sidebar [0,470,262,140] atau crop mulai x=262. Sorot daftar sistem</t>
        </is>
      </c>
      <c r="H65" s="5" t="inlineStr">
        <is>
          <t>Pilih sistem yang menyimpan datanya</t>
        </is>
      </c>
      <c r="I65" s="5" t="inlineStr">
        <is>
          <t>Pilih sistem mana saja yang menyimpan data si pemohon…</t>
        </is>
      </c>
      <c r="J65" s="5" t="inlineStr">
        <is>
          <t>pop</t>
        </is>
      </c>
    </row>
    <row r="66" ht="58" customHeight="1">
      <c r="A66" s="9" t="inlineStr">
        <is>
          <t>M07</t>
        </is>
      </c>
      <c r="B66" s="9" t="n">
        <v>6</v>
      </c>
      <c r="C66" s="9" t="inlineStr">
        <is>
          <t>00:34–00:42</t>
        </is>
      </c>
      <c r="D66" s="11" t="inlineStr">
        <is>
          <t>Bukti</t>
        </is>
      </c>
      <c r="E66" s="5" t="inlineStr">
        <is>
          <t>Tab SQL Pack</t>
        </is>
      </c>
      <c r="F66" s="5" t="inlineStr">
        <is>
          <t>dataroom/03-tenant/dsr/07-tab-sqlpack.png</t>
        </is>
      </c>
      <c r="G66" s="5" t="inlineStr">
        <is>
          <t>Crop [262,40,1002,480]. Blur blok user sidebar [0,470,262,140] atau crop mulai x=262. Sorot tombol "Generate SQL Pack"</t>
        </is>
      </c>
      <c r="H66" s="5" t="inlineStr">
        <is>
          <t>Paket SQL siap dieksekusi</t>
        </is>
      </c>
      <c r="I66" s="5" t="inlineStr">
        <is>
          <t>…Nexus menyiapkan paket SQL-nya, tim kalian yang mengeksekusi di sistem sendiri.</t>
        </is>
      </c>
      <c r="J66" s="5" t="inlineStr">
        <is>
          <t>key</t>
        </is>
      </c>
    </row>
    <row r="67" ht="58" customHeight="1">
      <c r="A67" s="9" t="inlineStr">
        <is>
          <t>M07</t>
        </is>
      </c>
      <c r="B67" s="9" t="n">
        <v>7</v>
      </c>
      <c r="C67" s="9" t="inlineStr">
        <is>
          <t>00:42–00:50</t>
        </is>
      </c>
      <c r="D67" s="11" t="inlineStr">
        <is>
          <t>Bukti</t>
        </is>
      </c>
      <c r="E67" s="5" t="inlineStr">
        <is>
          <t>Tab Sertifikat</t>
        </is>
      </c>
      <c r="F67" s="5" t="inlineStr">
        <is>
          <t>dataroom/03-tenant/dsr/09-tab-certificates.png</t>
        </is>
      </c>
      <c r="G67" s="5" t="inlineStr">
        <is>
          <t>Crop [262,40,1002,420]. Blur blok user sidebar [0,470,262,140] atau crop mulai x=262. Sorot Subject Certificate &amp; Internal Certificate</t>
        </is>
      </c>
      <c r="H67" s="5" t="inlineStr">
        <is>
          <t>Sertifikat penyelesaian otomatis</t>
        </is>
      </c>
      <c r="I67" s="5" t="inlineStr">
        <is>
          <t>Selesai? Sertifikat penyelesaian untuk pemohon dan untuk internal dibuat otomatis.</t>
        </is>
      </c>
      <c r="J67" s="5" t="inlineStr">
        <is>
          <t>correct</t>
        </is>
      </c>
    </row>
    <row r="68" ht="58" customHeight="1">
      <c r="A68" s="9" t="inlineStr">
        <is>
          <t>M07</t>
        </is>
      </c>
      <c r="B68" s="9" t="n">
        <v>8</v>
      </c>
      <c r="C68" s="9" t="inlineStr">
        <is>
          <t>00:50–00:55</t>
        </is>
      </c>
      <c r="D68" s="11" t="inlineStr">
        <is>
          <t>Bukti</t>
        </is>
      </c>
      <c r="E68" s="5" t="inlineStr">
        <is>
          <t>Ikon alur Handler → Reviewer → Approver + ikon AI</t>
        </is>
      </c>
      <c r="F68" s="5" t="inlineStr">
        <is>
          <t>—</t>
        </is>
      </c>
      <c r="G68" s="5" t="inlineStr">
        <is>
          <t>—</t>
        </is>
      </c>
      <c r="H68" s="5" t="inlineStr">
        <is>
          <t>Alur tercatat · draf jawaban dibantu AI</t>
        </is>
      </c>
      <c r="I68" s="5" t="inlineStr">
        <is>
          <t>Alurnya tercatat, draf jawabannya dibantu AI.</t>
        </is>
      </c>
      <c r="J68" s="5" t="inlineStr">
        <is>
          <t>check</t>
        </is>
      </c>
    </row>
    <row r="69" ht="58" customHeight="1">
      <c r="A69" s="28" t="inlineStr">
        <is>
          <t>M07</t>
        </is>
      </c>
      <c r="B69" s="28" t="n">
        <v>9</v>
      </c>
      <c r="C69" s="28" t="inlineStr">
        <is>
          <t>00:55–01:00</t>
        </is>
      </c>
      <c r="D69" s="37" t="inlineStr">
        <is>
          <t>CTA</t>
        </is>
      </c>
      <c r="E69" s="38" t="inlineStr">
        <is>
          <t>Logo</t>
        </is>
      </c>
      <c r="F69" s="38" t="inlineStr">
        <is>
          <t>—</t>
        </is>
      </c>
      <c r="G69" s="38" t="inlineStr">
        <is>
          <t>—</t>
        </is>
      </c>
      <c r="H69" s="38" t="inlineStr">
        <is>
          <t>Setiap permohonan, tepat waktu.</t>
        </is>
      </c>
      <c r="I69" s="38" t="inlineStr">
        <is>
          <t>Setiap permohonan, dijawab tepat waktu. Privasimu Nexus.</t>
        </is>
      </c>
      <c r="J69" s="38" t="inlineStr">
        <is>
          <t>sonic logo</t>
        </is>
      </c>
    </row>
    <row r="71" ht="36" customHeight="1">
      <c r="A71" s="43" t="inlineStr">
        <is>
          <t>M08 · Consent &amp; Cookie · "Klik "Setuju" tanpa bukti = tidak pernah setuju" · 60 dtk · Hook (Logika dipatahkan): Pelanggan sudah klik "Setuju". Pertanyaannya: bisa kamu buktikan?</t>
        </is>
      </c>
    </row>
    <row r="72" ht="58" customHeight="1">
      <c r="A72" s="29" t="inlineStr">
        <is>
          <t>M08</t>
        </is>
      </c>
      <c r="B72" s="29" t="n">
        <v>1</v>
      </c>
      <c r="C72" s="29" t="inlineStr">
        <is>
          <t>00:00–00:04</t>
        </is>
      </c>
      <c r="D72" s="31" t="inlineStr">
        <is>
          <t>Hook</t>
        </is>
      </c>
      <c r="E72" s="30" t="inlineStr">
        <is>
          <t>Kursor klik ✅ "Saya setuju", lalu tanda tanya besar</t>
        </is>
      </c>
      <c r="F72" s="30" t="inlineStr">
        <is>
          <t>—</t>
        </is>
      </c>
      <c r="G72" s="30" t="inlineStr">
        <is>
          <t>—</t>
        </is>
      </c>
      <c r="H72" s="30" t="inlineStr">
        <is>
          <t>Sudah klik "Setuju". Bisa dibuktikan?</t>
        </is>
      </c>
      <c r="I72" s="30" t="inlineStr">
        <is>
          <t>Pelanggan sudah klik setuju. Pertanyaannya: bisa kamu buktikan?</t>
        </is>
      </c>
      <c r="J72" s="30" t="inlineStr">
        <is>
          <t>klik + vine boom</t>
        </is>
      </c>
    </row>
    <row r="73" ht="58" customHeight="1">
      <c r="A73" s="9" t="inlineStr">
        <is>
          <t>M08</t>
        </is>
      </c>
      <c r="B73" s="9" t="n">
        <v>2</v>
      </c>
      <c r="C73" s="9" t="inlineStr">
        <is>
          <t>00:04–00:10</t>
        </is>
      </c>
      <c r="D73" s="11" t="inlineStr">
        <is>
          <t>Masalah</t>
        </is>
      </c>
      <c r="E73" s="5" t="inlineStr">
        <is>
          <t>Checkbox tanpa jejak; penarikan "nyangkut" di satu sistem</t>
        </is>
      </c>
      <c r="F73" s="5" t="inlineStr">
        <is>
          <t>—</t>
        </is>
      </c>
      <c r="G73" s="5" t="inlineStr">
        <is>
          <t>—</t>
        </is>
      </c>
      <c r="H73" s="5" t="inlineStr">
        <is>
          <t>Tanpa bukti · penarikan tak tersebar</t>
        </is>
      </c>
      <c r="I73" s="5" t="inlineStr">
        <is>
          <t>Kotak centang tanpa bukti, dan penarikan persetujuan yang tidak sampai ke semua sistem.</t>
        </is>
      </c>
      <c r="J73" s="5" t="inlineStr">
        <is>
          <t>buzzer</t>
        </is>
      </c>
    </row>
    <row r="74" ht="58" customHeight="1">
      <c r="A74" s="9" t="inlineStr">
        <is>
          <t>M08</t>
        </is>
      </c>
      <c r="B74" s="9" t="n">
        <v>3</v>
      </c>
      <c r="C74" s="9" t="inlineStr">
        <is>
          <t>00:10–00:20</t>
        </is>
      </c>
      <c r="D74" s="11" t="inlineStr">
        <is>
          <t>Solusi</t>
        </is>
      </c>
      <c r="E74" s="5" t="inlineStr">
        <is>
          <t>Daftar collection point</t>
        </is>
      </c>
      <c r="F74" s="5" t="inlineStr">
        <is>
          <t>dataroom/03-tenant/consent/01-overview.png</t>
        </is>
      </c>
      <c r="G74" s="5" t="inlineStr">
        <is>
          <t>Crop [262,40,1002,560]. BLUR kolom Domain. Blur blok user sidebar [0,470,262,140] atau crop mulai x=262</t>
        </is>
      </c>
      <c r="H74" s="5" t="inlineStr">
        <is>
          <t>Setiap titik pengumpulan tercatat</t>
        </is>
      </c>
      <c r="I74" s="5" t="inlineStr">
        <is>
          <t>Di Nexus, setiap titik pengumpulan persetujuan tercatat: web, aplikasi, sampai loket.</t>
        </is>
      </c>
      <c r="J74" s="5" t="inlineStr">
        <is>
          <t>whoosh</t>
        </is>
      </c>
    </row>
    <row r="75" ht="58" customHeight="1">
      <c r="A75" s="9" t="inlineStr">
        <is>
          <t>M08</t>
        </is>
      </c>
      <c r="B75" s="9" t="n">
        <v>4</v>
      </c>
      <c r="C75" s="9" t="inlineStr">
        <is>
          <t>00:20–00:28</t>
        </is>
      </c>
      <c r="D75" s="11" t="inlineStr">
        <is>
          <t>Bukti</t>
        </is>
      </c>
      <c r="E75" s="5" t="inlineStr">
        <is>
          <t>Kode sematan &amp; tab log</t>
        </is>
      </c>
      <c r="F75" s="5" t="inlineStr">
        <is>
          <t>dataroom/03-tenant/consent/03-embed-code.png</t>
        </is>
      </c>
      <c r="G75" s="5" t="inlineStr">
        <is>
          <t>Crop [262,40,1002,420]. BLUR URL collection point. Blur blok user sidebar [0,470,262,140] atau crop mulai x=262. Sorot tab Consent Logs &amp; Widget Builder</t>
        </is>
      </c>
      <c r="H75" s="5" t="inlineStr">
        <is>
          <t>Tersimpan beserta bukti</t>
        </is>
      </c>
      <c r="I75" s="5" t="inlineStr">
        <is>
          <t>Pasang lewat kode sematan, dan setiap persetujuan tersimpan beserta buktinya.</t>
        </is>
      </c>
      <c r="J75" s="5" t="inlineStr">
        <is>
          <t>pop</t>
        </is>
      </c>
    </row>
    <row r="76" ht="58" customHeight="1">
      <c r="A76" s="9" t="inlineStr">
        <is>
          <t>M08</t>
        </is>
      </c>
      <c r="B76" s="9" t="n">
        <v>5</v>
      </c>
      <c r="C76" s="9" t="inlineStr">
        <is>
          <t>00:28–00:36</t>
        </is>
      </c>
      <c r="D76" s="11" t="inlineStr">
        <is>
          <t>Bukti</t>
        </is>
      </c>
      <c r="E76" s="5" t="inlineStr">
        <is>
          <t>Integrasi consent</t>
        </is>
      </c>
      <c r="F76" s="5" t="inlineStr">
        <is>
          <t>motion/assets/app/consent-detail.png</t>
        </is>
      </c>
      <c r="G76" s="5" t="inlineStr">
        <is>
          <t>Siap pakai (API key diburamkan). Sorot Preference Center, API, Webhook</t>
        </is>
      </c>
      <c r="H76" s="5" t="inlineStr">
        <is>
          <t>Penarikan menyebar lewat API &amp; webhook</t>
        </is>
      </c>
      <c r="I76" s="5" t="inlineStr">
        <is>
          <t>Penarikan persetujuan disebarkan ke sistem lain lewat API dan webhook.</t>
        </is>
      </c>
      <c r="J76" s="5" t="inlineStr">
        <is>
          <t>sweep</t>
        </is>
      </c>
    </row>
    <row r="77" ht="58" customHeight="1">
      <c r="A77" s="9" t="inlineStr">
        <is>
          <t>M08</t>
        </is>
      </c>
      <c r="B77" s="9" t="n">
        <v>6</v>
      </c>
      <c r="C77" s="9" t="inlineStr">
        <is>
          <t>00:36–00:44</t>
        </is>
      </c>
      <c r="D77" s="11" t="inlineStr">
        <is>
          <t>Bukti</t>
        </is>
      </c>
      <c r="E77" s="5" t="inlineStr">
        <is>
          <t>Pratinjau banner cookie &amp; form</t>
        </is>
      </c>
      <c r="F77" s="5" t="inlineStr">
        <is>
          <t>frontend/tmp/audit4/consent__preview.png</t>
        </is>
      </c>
      <c r="G77" s="5" t="inlineStr">
        <is>
          <t>Crop [200,40,1240,480]. Blur nama org [300,22,200,26]; buang sidebar (x&lt;200). Sorot kartu Cookie Banner &amp; Consent Form</t>
        </is>
      </c>
      <c r="H77" s="5" t="inlineStr">
        <is>
          <t>Banner cookie siap sematan</t>
        </is>
      </c>
      <c r="I77" s="5" t="inlineStr">
        <is>
          <t>Banner cookie dan pusat preferensi bisa langsung disematkan.</t>
        </is>
      </c>
      <c r="J77" s="5" t="inlineStr">
        <is>
          <t>pop</t>
        </is>
      </c>
    </row>
    <row r="78" ht="58" customHeight="1">
      <c r="A78" s="9" t="inlineStr">
        <is>
          <t>M08</t>
        </is>
      </c>
      <c r="B78" s="9" t="n">
        <v>7</v>
      </c>
      <c r="C78" s="9" t="inlineStr">
        <is>
          <t>00:44–00:52</t>
        </is>
      </c>
      <c r="D78" s="11" t="inlineStr">
        <is>
          <t>Bukti</t>
        </is>
      </c>
      <c r="E78" s="5" t="inlineStr">
        <is>
          <t>Ringkasan cookie</t>
        </is>
      </c>
      <c r="F78" s="5" t="inlineStr">
        <is>
          <t>dataroom/03-tenant/cookie/01-overview.png</t>
        </is>
      </c>
      <c r="G78" s="5" t="inlineStr">
        <is>
          <t>Crop HANYA kartu KPI [262,60,1002,160]. JANGAN tampilkan tabel (ada nama layanan &amp; domain nyata)</t>
        </is>
      </c>
      <c r="H78" s="5" t="inlineStr">
        <is>
          <t>Terpantau dari satu tempat</t>
        </is>
      </c>
      <c r="I78" s="5" t="inlineStr">
        <is>
          <t>Semua terpantau dari satu tempat.</t>
        </is>
      </c>
      <c r="J78" s="5" t="inlineStr">
        <is>
          <t>ding</t>
        </is>
      </c>
    </row>
    <row r="79" ht="58" customHeight="1">
      <c r="A79" s="28" t="inlineStr">
        <is>
          <t>M08</t>
        </is>
      </c>
      <c r="B79" s="28" t="n">
        <v>8</v>
      </c>
      <c r="C79" s="28" t="inlineStr">
        <is>
          <t>00:52–01:00</t>
        </is>
      </c>
      <c r="D79" s="37" t="inlineStr">
        <is>
          <t>CTA</t>
        </is>
      </c>
      <c r="E79" s="38" t="inlineStr">
        <is>
          <t>Logo</t>
        </is>
      </c>
      <c r="F79" s="38" t="inlineStr">
        <is>
          <t>—</t>
        </is>
      </c>
      <c r="G79" s="38" t="inlineStr">
        <is>
          <t>—</t>
        </is>
      </c>
      <c r="H79" s="38" t="inlineStr">
        <is>
          <t>Setuju harus bisa dibuktikan.</t>
        </is>
      </c>
      <c r="I79" s="38" t="inlineStr">
        <is>
          <t>Setuju itu harus bisa dibuktikan. Privasimu Nexus.</t>
        </is>
      </c>
      <c r="J79" s="38" t="inlineStr">
        <is>
          <t>sonic logo</t>
        </is>
      </c>
    </row>
    <row r="81" ht="36" customHeight="1">
      <c r="A81" s="43" t="inlineStr">
        <is>
          <t>M09 · Children Pro (persetujuan wali) · "Pengguna termuda juga butuh izin (walinya)" · 45 dtk · Hook (Anomali): Pengguna paling setia aplikasimu… mungkin masih kelas 5 SD.</t>
        </is>
      </c>
    </row>
    <row r="82" ht="58" customHeight="1">
      <c r="A82" s="29" t="inlineStr">
        <is>
          <t>M09</t>
        </is>
      </c>
      <c r="B82" s="29" t="n">
        <v>1</v>
      </c>
      <c r="C82" s="29" t="inlineStr">
        <is>
          <t>00:00–00:04</t>
        </is>
      </c>
      <c r="D82" s="31" t="inlineStr">
        <is>
          <t>Hook</t>
        </is>
      </c>
      <c r="E82" s="30" t="inlineStr">
        <is>
          <t>Avatar anak dengan lencana "Top User"</t>
        </is>
      </c>
      <c r="F82" s="30" t="inlineStr">
        <is>
          <t>—</t>
        </is>
      </c>
      <c r="G82" s="30" t="inlineStr">
        <is>
          <t>—</t>
        </is>
      </c>
      <c r="H82" s="30" t="inlineStr">
        <is>
          <t>Pengguna paling setia: umur 11?</t>
        </is>
      </c>
      <c r="I82" s="30" t="inlineStr">
        <is>
          <t>Pengguna paling setia aplikasimu… mungkin masih kelas lima SD.</t>
        </is>
      </c>
      <c r="J82" s="30" t="inlineStr">
        <is>
          <t>pop</t>
        </is>
      </c>
    </row>
    <row r="83" ht="58" customHeight="1">
      <c r="A83" s="9" t="inlineStr">
        <is>
          <t>M09</t>
        </is>
      </c>
      <c r="B83" s="9" t="n">
        <v>2</v>
      </c>
      <c r="C83" s="9" t="inlineStr">
        <is>
          <t>00:04–00:12</t>
        </is>
      </c>
      <c r="D83" s="11" t="inlineStr">
        <is>
          <t>Fakta</t>
        </is>
      </c>
      <c r="E83" s="5" t="inlineStr">
        <is>
          <t>Ikon perisai + teks pasal</t>
        </is>
      </c>
      <c r="F83" s="5" t="inlineStr">
        <is>
          <t>—</t>
        </is>
      </c>
      <c r="G83" s="5" t="inlineStr">
        <is>
          <t>—</t>
        </is>
      </c>
      <c r="H83" s="5" t="inlineStr">
        <is>
          <t>Data anak = data spesifik · butuh persetujuan wali</t>
        </is>
      </c>
      <c r="I83" s="5" t="inlineStr">
        <is>
          <t>Data anak termasuk data pribadi spesifik, dan pemrosesannya butuh persetujuan orang tua atau wali.</t>
        </is>
      </c>
      <c r="J83" s="5" t="inlineStr">
        <is>
          <t>paper</t>
        </is>
      </c>
    </row>
    <row r="84" ht="58" customHeight="1">
      <c r="A84" s="9" t="inlineStr">
        <is>
          <t>M09</t>
        </is>
      </c>
      <c r="B84" s="9" t="n">
        <v>3</v>
      </c>
      <c r="C84" s="9" t="inlineStr">
        <is>
          <t>00:12–00:22</t>
        </is>
      </c>
      <c r="D84" s="11" t="inlineStr">
        <is>
          <t>Solusi</t>
        </is>
      </c>
      <c r="E84" s="5" t="inlineStr">
        <is>
          <t>Modul Children Pro</t>
        </is>
      </c>
      <c r="F84" s="5" t="inlineStr">
        <is>
          <t>motion/assets/app/children-pro.png</t>
        </is>
      </c>
      <c r="G84" s="5" t="inlineStr">
        <is>
          <t>Siap pakai. Sorot tab Kewenangan Wali / Menunggu / Peralihan</t>
        </is>
      </c>
      <c r="H84" s="5" t="inlineStr">
        <is>
          <t>Children Pro</t>
        </is>
      </c>
      <c r="I84" s="5" t="inlineStr">
        <is>
          <t>Children Pro mengelola persetujuan wali per aplikasi…</t>
        </is>
      </c>
      <c r="J84" s="5" t="inlineStr">
        <is>
          <t>whoosh</t>
        </is>
      </c>
    </row>
    <row r="85" ht="58" customHeight="1">
      <c r="A85" s="9" t="inlineStr">
        <is>
          <t>M09</t>
        </is>
      </c>
      <c r="B85" s="9" t="n">
        <v>4</v>
      </c>
      <c r="C85" s="9" t="inlineStr">
        <is>
          <t>00:22–00:32</t>
        </is>
      </c>
      <c r="D85" s="11" t="inlineStr">
        <is>
          <t>Bukti</t>
        </is>
      </c>
      <c r="E85" s="5" t="inlineStr">
        <is>
          <t>Tab metode verifikasi &amp; DSR anak</t>
        </is>
      </c>
      <c r="F85" s="5" t="inlineStr">
        <is>
          <t>frontend/tmp/audit4/consent-guardian.png</t>
        </is>
      </c>
      <c r="G85" s="5" t="inlineStr">
        <is>
          <t>Crop [200,40,1240,300] (tabel masih kosong). Blur nama org [300,22,200,26]; buang sidebar (x&lt;200). Versi final: AMBIL SCREENSHOT BARU dengan wali &amp; anak fiktif</t>
        </is>
      </c>
      <c r="H85" s="5" t="inlineStr">
        <is>
          <t>Verifikasi wali · DSR anak</t>
        </is>
      </c>
      <c r="I85" s="5" t="inlineStr">
        <is>
          <t>…lengkap dengan metode verifikasi wali dan permohonan hak untuk anak.</t>
        </is>
      </c>
      <c r="J85" s="5" t="inlineStr">
        <is>
          <t>check</t>
        </is>
      </c>
    </row>
    <row r="86" ht="58" customHeight="1">
      <c r="A86" s="9" t="inlineStr">
        <is>
          <t>M09</t>
        </is>
      </c>
      <c r="B86" s="9" t="n">
        <v>5</v>
      </c>
      <c r="C86" s="9" t="inlineStr">
        <is>
          <t>00:32–00:38</t>
        </is>
      </c>
      <c r="D86" s="11" t="inlineStr">
        <is>
          <t>Bukti</t>
        </is>
      </c>
      <c r="E86" s="5" t="inlineStr">
        <is>
          <t>Kue ulang tahun ke-18 → kunci berpindah</t>
        </is>
      </c>
      <c r="F86" s="5" t="inlineStr">
        <is>
          <t>—</t>
        </is>
      </c>
      <c r="G86" s="5" t="inlineStr">
        <is>
          <t>—</t>
        </is>
      </c>
      <c r="H86" s="5" t="inlineStr">
        <is>
          <t>Usia 18: kewenangan beralih</t>
        </is>
      </c>
      <c r="I86" s="5" t="inlineStr">
        <is>
          <t>Dan saat anak berusia delapan belas, kewenangannya beralih.</t>
        </is>
      </c>
      <c r="J86" s="5" t="inlineStr">
        <is>
          <t>shimmer</t>
        </is>
      </c>
    </row>
    <row r="87" ht="58" customHeight="1">
      <c r="A87" s="28" t="inlineStr">
        <is>
          <t>M09</t>
        </is>
      </c>
      <c r="B87" s="28" t="n">
        <v>6</v>
      </c>
      <c r="C87" s="28" t="inlineStr">
        <is>
          <t>00:38–00:45</t>
        </is>
      </c>
      <c r="D87" s="37" t="inlineStr">
        <is>
          <t>CTA</t>
        </is>
      </c>
      <c r="E87" s="38" t="inlineStr">
        <is>
          <t>Logo</t>
        </is>
      </c>
      <c r="F87" s="38" t="inlineStr">
        <is>
          <t>—</t>
        </is>
      </c>
      <c r="G87" s="38" t="inlineStr">
        <is>
          <t>—</t>
        </is>
      </c>
      <c r="H87" s="38" t="inlineStr">
        <is>
          <t>Pengguna termuda, dilindungi paling serius.</t>
        </is>
      </c>
      <c r="I87" s="38" t="inlineStr">
        <is>
          <t>Pengguna termuda, dilindungi paling serius. Privasimu Nexus.</t>
        </is>
      </c>
      <c r="J87" s="38" t="inlineStr">
        <is>
          <t>sonic logo</t>
        </is>
      </c>
    </row>
    <row r="89" ht="36" customHeight="1">
      <c r="A89" s="43" t="inlineStr">
        <is>
          <t>M10 · Inclusive Privacy · "Persetujuan yang bisa dipahami semua orang" · 45 dtk · Hook (Reverse psychology): Coba setujui syarat &amp; ketentuan ini… dengan mata tertutup.</t>
        </is>
      </c>
    </row>
    <row r="90" ht="58" customHeight="1">
      <c r="A90" s="29" t="inlineStr">
        <is>
          <t>M10</t>
        </is>
      </c>
      <c r="B90" s="29" t="n">
        <v>1</v>
      </c>
      <c r="C90" s="29" t="inlineStr">
        <is>
          <t>00:00–00:04</t>
        </is>
      </c>
      <c r="D90" s="31" t="inlineStr">
        <is>
          <t>Hook</t>
        </is>
      </c>
      <c r="E90" s="30" t="inlineStr">
        <is>
          <t>Layar menggelap, hanya suara</t>
        </is>
      </c>
      <c r="F90" s="30" t="inlineStr">
        <is>
          <t>—</t>
        </is>
      </c>
      <c r="G90" s="30" t="inlineStr">
        <is>
          <t>—</t>
        </is>
      </c>
      <c r="H90" s="30" t="inlineStr">
        <is>
          <t>Setujui ini… dengan mata tertutup.</t>
        </is>
      </c>
      <c r="I90" s="30" t="inlineStr">
        <is>
          <t>Coba setujui syarat dan ketentuan ini… dengan mata tertutup.</t>
        </is>
      </c>
      <c r="J90" s="30" t="inlineStr">
        <is>
          <t>efek VO "robot" (pembaca layar)</t>
        </is>
      </c>
    </row>
    <row r="91" ht="58" customHeight="1">
      <c r="A91" s="9" t="inlineStr">
        <is>
          <t>M10</t>
        </is>
      </c>
      <c r="B91" s="9" t="n">
        <v>2</v>
      </c>
      <c r="C91" s="9" t="inlineStr">
        <is>
          <t>00:04–00:12</t>
        </is>
      </c>
      <c r="D91" s="11" t="inlineStr">
        <is>
          <t>Empati</t>
        </is>
      </c>
      <c r="E91" s="5" t="inlineStr">
        <is>
          <t>Layar kembali terang pelan</t>
        </is>
      </c>
      <c r="F91" s="5" t="inlineStr">
        <is>
          <t>—</t>
        </is>
      </c>
      <c r="G91" s="5" t="inlineStr">
        <is>
          <t>—</t>
        </is>
      </c>
      <c r="H91" s="5" t="inlineStr">
        <is>
          <t>Bagi sebagian pengguna, ini sehari-hari</t>
        </is>
      </c>
      <c r="I91" s="5" t="inlineStr">
        <is>
          <t>Bagi sebagian penggunamu, itu kenyataan sehari-hari.</t>
        </is>
      </c>
      <c r="J91" s="5" t="inlineStr">
        <is>
          <t>musik lembut</t>
        </is>
      </c>
    </row>
    <row r="92" ht="58" customHeight="1">
      <c r="A92" s="9" t="inlineStr">
        <is>
          <t>M10</t>
        </is>
      </c>
      <c r="B92" s="9" t="n">
        <v>3</v>
      </c>
      <c r="C92" s="9" t="inlineStr">
        <is>
          <t>00:12–00:24</t>
        </is>
      </c>
      <c r="D92" s="11" t="inlineStr">
        <is>
          <t>Solusi</t>
        </is>
      </c>
      <c r="E92" s="5" t="inlineStr">
        <is>
          <t>Modul Inclusive Privacy</t>
        </is>
      </c>
      <c r="F92" s="5" t="inlineStr">
        <is>
          <t>motion/assets/app/inclusive-privacy.png</t>
        </is>
      </c>
      <c r="G92" s="5" t="inlineStr">
        <is>
          <t>Siap pakai. Sorot judul &amp; tab</t>
        </is>
      </c>
      <c r="H92" s="5" t="inlineStr">
        <is>
          <t>Inclusive Privacy</t>
        </is>
      </c>
      <c r="I92" s="5" t="inlineStr">
        <is>
          <t>Inclusive Privacy menyiapkan persetujuan yang aksesibel bagi penyandang disabilitas…</t>
        </is>
      </c>
      <c r="J92" s="5" t="inlineStr">
        <is>
          <t>whoosh</t>
        </is>
      </c>
    </row>
    <row r="93" ht="58" customHeight="1">
      <c r="A93" s="9" t="inlineStr">
        <is>
          <t>M10</t>
        </is>
      </c>
      <c r="B93" s="9" t="n">
        <v>4</v>
      </c>
      <c r="C93" s="9" t="inlineStr">
        <is>
          <t>00:24–00:34</t>
        </is>
      </c>
      <c r="D93" s="11" t="inlineStr">
        <is>
          <t>Bukti</t>
        </is>
      </c>
      <c r="E93" s="5" t="inlineStr">
        <is>
          <t>Tab aksesibilitas &amp; DSR disabilitas</t>
        </is>
      </c>
      <c r="F93" s="5" t="inlineStr">
        <is>
          <t>frontend/tmp/audit4/consent-accessibility.png</t>
        </is>
      </c>
      <c r="G93" s="5" t="inlineStr">
        <is>
          <t>Crop [200,40,1240,300] (tabel kosong). Blur nama org [300,22,200,26]; buang sidebar (x&lt;200). Versi final: AMBIL SCREENSHOT BARU dengan contoh</t>
        </is>
      </c>
      <c r="H93" s="5" t="inlineStr">
        <is>
          <t>Pendamping · DSR ramah disabilitas</t>
        </is>
      </c>
      <c r="I93" s="5" t="inlineStr">
        <is>
          <t>…termasuk pengaturan pendamping dan permohonan hak yang ramah disabilitas.</t>
        </is>
      </c>
      <c r="J93" s="5" t="inlineStr">
        <is>
          <t>check</t>
        </is>
      </c>
    </row>
    <row r="94" ht="58" customHeight="1">
      <c r="A94" s="28" t="inlineStr">
        <is>
          <t>M10</t>
        </is>
      </c>
      <c r="B94" s="28" t="n">
        <v>5</v>
      </c>
      <c r="C94" s="28" t="inlineStr">
        <is>
          <t>00:34–00:45</t>
        </is>
      </c>
      <c r="D94" s="37" t="inlineStr">
        <is>
          <t>CTA</t>
        </is>
      </c>
      <c r="E94" s="38" t="inlineStr">
        <is>
          <t>Logo</t>
        </is>
      </c>
      <c r="F94" s="38" t="inlineStr">
        <is>
          <t>—</t>
        </is>
      </c>
      <c r="G94" s="38" t="inlineStr">
        <is>
          <t>—</t>
        </is>
      </c>
      <c r="H94" s="38" t="inlineStr">
        <is>
          <t>Persetujuan untuk semua orang.</t>
        </is>
      </c>
      <c r="I94" s="38" t="inlineStr">
        <is>
          <t>Persetujuan yang bisa dipahami semua orang. Privasimu Nexus.</t>
        </is>
      </c>
      <c r="J94" s="38" t="inlineStr">
        <is>
          <t>sonic logo</t>
        </is>
      </c>
    </row>
    <row r="96" ht="36" customHeight="1">
      <c r="A96" s="43" t="inlineStr">
        <is>
          <t>M11 · Manajemen Insiden (Data Breach) · "Jam 3 pagi, notifikasi masuk" · 60 dtk · Hook (Relate): Jam 3 pagi. Notifikasi ini masuk: "Dugaan kebocoran data."</t>
        </is>
      </c>
    </row>
    <row r="97" ht="58" customHeight="1">
      <c r="A97" s="29" t="inlineStr">
        <is>
          <t>M11</t>
        </is>
      </c>
      <c r="B97" s="29" t="n">
        <v>1</v>
      </c>
      <c r="C97" s="29" t="inlineStr">
        <is>
          <t>00:00–00:04</t>
        </is>
      </c>
      <c r="D97" s="31" t="inlineStr">
        <is>
          <t>Hook</t>
        </is>
      </c>
      <c r="E97" s="30" t="inlineStr">
        <is>
          <t>HP bergetar di meja gelap, jam 03.00</t>
        </is>
      </c>
      <c r="F97" s="30" t="inlineStr">
        <is>
          <t>—</t>
        </is>
      </c>
      <c r="G97" s="30" t="inlineStr">
        <is>
          <t>—</t>
        </is>
      </c>
      <c r="H97" s="30" t="inlineStr">
        <is>
          <t>03.00 · ⚠️ Dugaan kebocoran data</t>
        </is>
      </c>
      <c r="I97" s="30" t="inlineStr">
        <is>
          <t>Jam tiga pagi. Notifikasi ini masuk.</t>
        </is>
      </c>
      <c r="J97" s="30" t="inlineStr">
        <is>
          <t>notif + alarm</t>
        </is>
      </c>
    </row>
    <row r="98" ht="58" customHeight="1">
      <c r="A98" s="9" t="inlineStr">
        <is>
          <t>M11</t>
        </is>
      </c>
      <c r="B98" s="9" t="n">
        <v>2</v>
      </c>
      <c r="C98" s="9" t="inlineStr">
        <is>
          <t>00:04–00:10</t>
        </is>
      </c>
      <c r="D98" s="11" t="inlineStr">
        <is>
          <t>Fakta</t>
        </is>
      </c>
      <c r="E98" s="5" t="inlineStr">
        <is>
          <t>Hitung mundur 72:00:00</t>
        </is>
      </c>
      <c r="F98" s="5" t="inlineStr">
        <is>
          <t>—</t>
        </is>
      </c>
      <c r="G98" s="5" t="inlineStr">
        <is>
          <t>—</t>
        </is>
      </c>
      <c r="H98" s="5" t="inlineStr">
        <is>
          <t>Wajib lapor paling lambat 3×24 jam</t>
        </is>
      </c>
      <c r="I98" s="5" t="inlineStr">
        <is>
          <t>Pemberitahuan tertulis paling lambat tiga kali dua puluh empat jam.</t>
        </is>
      </c>
      <c r="J98" s="5" t="inlineStr">
        <is>
          <t>clock</t>
        </is>
      </c>
    </row>
    <row r="99" ht="58" customHeight="1">
      <c r="A99" s="9" t="inlineStr">
        <is>
          <t>M11</t>
        </is>
      </c>
      <c r="B99" s="9" t="n">
        <v>3</v>
      </c>
      <c r="C99" s="9" t="inlineStr">
        <is>
          <t>00:10–00:18</t>
        </is>
      </c>
      <c r="D99" s="11" t="inlineStr">
        <is>
          <t>Masalah</t>
        </is>
      </c>
      <c r="E99" s="5" t="inlineStr">
        <is>
          <t>Pertanyaan beruntun muncul</t>
        </is>
      </c>
      <c r="F99" s="5" t="inlineStr">
        <is>
          <t>—</t>
        </is>
      </c>
      <c r="G99" s="5" t="inlineStr">
        <is>
          <t>—</t>
        </is>
      </c>
      <c r="H99" s="5" t="inlineStr">
        <is>
          <t>Templat? PIC? Kronologi?</t>
        </is>
      </c>
      <c r="I99" s="5" t="inlineStr">
        <is>
          <t>Biasanya panik dulu: templatnya mana, siapa yang pegang, kronologinya bagaimana?</t>
        </is>
      </c>
      <c r="J99" s="5" t="inlineStr">
        <is>
          <t>heartbeat</t>
        </is>
      </c>
    </row>
    <row r="100" ht="58" customHeight="1">
      <c r="A100" s="9" t="inlineStr">
        <is>
          <t>M11</t>
        </is>
      </c>
      <c r="B100" s="9" t="n">
        <v>4</v>
      </c>
      <c r="C100" s="9" t="inlineStr">
        <is>
          <t>00:18–00:28</t>
        </is>
      </c>
      <c r="D100" s="11" t="inlineStr">
        <is>
          <t>Solusi</t>
        </is>
      </c>
      <c r="E100" s="5" t="inlineStr">
        <is>
          <t>Detail insiden &amp; 5 fase</t>
        </is>
      </c>
      <c r="F100" s="5" t="inlineStr">
        <is>
          <t>motion/assets/app/breach-detail.png</t>
        </is>
      </c>
      <c r="G100" s="5" t="inlineStr">
        <is>
          <t>Siap pakai. Sorot label "Wajib Notifikasi" + stepper 5 fase</t>
        </is>
      </c>
      <c r="H100" s="5" t="inlineStr">
        <is>
          <t>Alur 5 fase langsung siap</t>
        </is>
      </c>
      <c r="I100" s="5" t="inlineStr">
        <is>
          <t>Di Nexus, begitu insiden dicatat, alurnya langsung siap: lima fase dari deteksi sampai ditutup.</t>
        </is>
      </c>
      <c r="J100" s="5" t="inlineStr">
        <is>
          <t>whoosh</t>
        </is>
      </c>
    </row>
    <row r="101" ht="58" customHeight="1">
      <c r="A101" s="9" t="inlineStr">
        <is>
          <t>M11</t>
        </is>
      </c>
      <c r="B101" s="9" t="n">
        <v>5</v>
      </c>
      <c r="C101" s="9" t="inlineStr">
        <is>
          <t>00:28–00:36</t>
        </is>
      </c>
      <c r="D101" s="11" t="inlineStr">
        <is>
          <t>Bukti</t>
        </is>
      </c>
      <c r="E101" s="5" t="inlineStr">
        <is>
          <t>Checklist fase 1</t>
        </is>
      </c>
      <c r="F101" s="5" t="inlineStr">
        <is>
          <t>motion/assets/app/breach-fase.png</t>
        </is>
      </c>
      <c r="G101" s="5" t="inlineStr">
        <is>
          <t>Siap pakai. Sorot checklist tercentang</t>
        </is>
      </c>
      <c r="H101" s="5" t="inlineStr">
        <is>
          <t>Checklist &amp; linimasa otomatis</t>
        </is>
      </c>
      <c r="I101" s="5" t="inlineStr">
        <is>
          <t>Daftar periksa penahanan dan linimasa dibuat otomatis.</t>
        </is>
      </c>
      <c r="J101" s="5" t="inlineStr">
        <is>
          <t>check</t>
        </is>
      </c>
    </row>
    <row r="102" ht="58" customHeight="1">
      <c r="A102" s="9" t="inlineStr">
        <is>
          <t>M11</t>
        </is>
      </c>
      <c r="B102" s="9" t="n">
        <v>6</v>
      </c>
      <c r="C102" s="9" t="inlineStr">
        <is>
          <t>00:36–00:44</t>
        </is>
      </c>
      <c r="D102" s="11" t="inlineStr">
        <is>
          <t>Bukti</t>
        </is>
      </c>
      <c r="E102" s="5" t="inlineStr">
        <is>
          <t>Tombol aksi insiden</t>
        </is>
      </c>
      <c r="F102" s="5" t="inlineStr">
        <is>
          <t>motion/assets/app/breach-aksi.png</t>
        </is>
      </c>
      <c r="G102" s="5" t="inlineStr">
        <is>
          <t>Siap pakai. Sorot Template Pemberitahuan, RACI Matrix, War Room</t>
        </is>
      </c>
      <c r="H102" s="5" t="inlineStr">
        <is>
          <t>Templat · RACI · War Room</t>
        </is>
      </c>
      <c r="I102" s="5" t="inlineStr">
        <is>
          <t>Templat pemberitahuan, pembagian peran RACI, sampai ruang koordinasi tim.</t>
        </is>
      </c>
      <c r="J102" s="5" t="inlineStr">
        <is>
          <t>pop</t>
        </is>
      </c>
    </row>
    <row r="103" ht="58" customHeight="1">
      <c r="A103" s="9" t="inlineStr">
        <is>
          <t>M11</t>
        </is>
      </c>
      <c r="B103" s="9" t="n">
        <v>7</v>
      </c>
      <c r="C103" s="9" t="inlineStr">
        <is>
          <t>00:44–00:52</t>
        </is>
      </c>
      <c r="D103" s="11" t="inlineStr">
        <is>
          <t>Bukti</t>
        </is>
      </c>
      <c r="E103" s="5" t="inlineStr">
        <is>
          <t>AI Incident Response Advisor</t>
        </is>
      </c>
      <c r="F103" s="5" t="inlineStr">
        <is>
          <t>motion/assets/app/breach-ai.png</t>
        </is>
      </c>
      <c r="G103" s="5" t="inlineStr">
        <is>
          <t>Siap pakai. Sorot tombol Generate</t>
        </is>
      </c>
      <c r="H103" s="5" t="inlineStr">
        <is>
          <t>Langkah penahanan dibantu AI</t>
        </is>
      </c>
      <c r="I103" s="5" t="inlineStr">
        <is>
          <t>Langkah penahanan pun bisa dibantu AI.</t>
        </is>
      </c>
      <c r="J103" s="5" t="inlineStr">
        <is>
          <t>shimmer</t>
        </is>
      </c>
    </row>
    <row r="104" ht="58" customHeight="1">
      <c r="A104" s="28" t="inlineStr">
        <is>
          <t>M11</t>
        </is>
      </c>
      <c r="B104" s="28" t="n">
        <v>8</v>
      </c>
      <c r="C104" s="28" t="inlineStr">
        <is>
          <t>00:52–01:00</t>
        </is>
      </c>
      <c r="D104" s="37" t="inlineStr">
        <is>
          <t>CTA</t>
        </is>
      </c>
      <c r="E104" s="38" t="inlineStr">
        <is>
          <t>Kamar gelap berubah terang, DPO kembali tidur 😴</t>
        </is>
      </c>
      <c r="F104" s="38" t="inlineStr">
        <is>
          <t>—</t>
        </is>
      </c>
      <c r="G104" s="38" t="inlineStr">
        <is>
          <t>—</t>
        </is>
      </c>
      <c r="H104" s="38" t="inlineStr">
        <is>
          <t>Insiden tak menunggu jam kerja.</t>
        </is>
      </c>
      <c r="I104" s="38" t="inlineStr">
        <is>
          <t>Insiden tidak menunggu jam kerja. Siapkan alurnya dari sekarang. Privasimu Nexus.</t>
        </is>
      </c>
      <c r="J104" s="38" t="inlineStr">
        <is>
          <t>sonic logo</t>
        </is>
      </c>
    </row>
    <row r="106" ht="36" customHeight="1">
      <c r="A106" s="43" t="inlineStr">
        <is>
          <t>M12 · Simulasi &amp; Fire Drill · "Latihan kebakaran ada. Latihan kebocoran data?" · 45 dtk · Hook (Logika dipatahkan): Kantor rutin latihan kebakaran. Latihan kebocoran data? …hening.</t>
        </is>
      </c>
    </row>
    <row r="107" ht="58" customHeight="1">
      <c r="A107" s="29" t="inlineStr">
        <is>
          <t>M12</t>
        </is>
      </c>
      <c r="B107" s="29" t="n">
        <v>1</v>
      </c>
      <c r="C107" s="29" t="inlineStr">
        <is>
          <t>00:00–00:04</t>
        </is>
      </c>
      <c r="D107" s="31" t="inlineStr">
        <is>
          <t>Hook</t>
        </is>
      </c>
      <c r="E107" s="30" t="inlineStr">
        <is>
          <t>Alarm kebakaran + orang berbaris; lalu teks kedua &amp; jangkrik</t>
        </is>
      </c>
      <c r="F107" s="30" t="inlineStr">
        <is>
          <t>—</t>
        </is>
      </c>
      <c r="G107" s="30" t="inlineStr">
        <is>
          <t>—</t>
        </is>
      </c>
      <c r="H107" s="30" t="inlineStr">
        <is>
          <t>Latihan kebakaran ✅ · latihan kebocoran data 🦗</t>
        </is>
      </c>
      <c r="I107" s="30" t="inlineStr">
        <is>
          <t>Kantor rutin latihan kebakaran. Latihan kebocoran data? Hening.</t>
        </is>
      </c>
      <c r="J107" s="30" t="inlineStr">
        <is>
          <t>alarm + crickets</t>
        </is>
      </c>
    </row>
    <row r="108" ht="58" customHeight="1">
      <c r="A108" s="9" t="inlineStr">
        <is>
          <t>M12</t>
        </is>
      </c>
      <c r="B108" s="9" t="n">
        <v>2</v>
      </c>
      <c r="C108" s="9" t="inlineStr">
        <is>
          <t>00:04–00:12</t>
        </is>
      </c>
      <c r="D108" s="11" t="inlineStr">
        <is>
          <t>Masalah</t>
        </is>
      </c>
      <c r="E108" s="5" t="inlineStr">
        <is>
          <t>Tim kebingungan saat insiden</t>
        </is>
      </c>
      <c r="F108" s="5" t="inlineStr">
        <is>
          <t>—</t>
        </is>
      </c>
      <c r="G108" s="5" t="inlineStr">
        <is>
          <t>—</t>
        </is>
      </c>
      <c r="H108" s="5" t="inlineStr">
        <is>
          <t>Tak pernah latihan = belajar saat insiden</t>
        </is>
      </c>
      <c r="I108" s="5" t="inlineStr">
        <is>
          <t>Tim yang tidak pernah latihan, belajarnya saat insiden sungguhan.</t>
        </is>
      </c>
      <c r="J108" s="5" t="inlineStr">
        <is>
          <t>dundun</t>
        </is>
      </c>
    </row>
    <row r="109" ht="58" customHeight="1">
      <c r="A109" s="9" t="inlineStr">
        <is>
          <t>M12</t>
        </is>
      </c>
      <c r="B109" s="9" t="n">
        <v>3</v>
      </c>
      <c r="C109" s="9" t="inlineStr">
        <is>
          <t>00:12–00:24</t>
        </is>
      </c>
      <c r="D109" s="11" t="inlineStr">
        <is>
          <t>Solusi</t>
        </is>
      </c>
      <c r="E109" s="5" t="inlineStr">
        <is>
          <t>Banner Fire Drill + daftar skenario</t>
        </is>
      </c>
      <c r="F109" s="5" t="inlineStr">
        <is>
          <t>dataroom/03-tenant/simulation/02-recheck.png</t>
        </is>
      </c>
      <c r="G109" s="5" t="inlineStr">
        <is>
          <t>Crop [262,40,1002,640]. BUANG kartu "Rata-rata skor" (angka tidak valid). BLUR kolom User. Blur blok user sidebar [0,470,262,140] atau crop mulai x=262</t>
        </is>
      </c>
      <c r="H109" s="5" t="inlineStr">
        <is>
          <t>Kuis · tabletop · walkthrough</t>
        </is>
      </c>
      <c r="I109" s="5" t="inlineStr">
        <is>
          <t>Fire Drill melatih tim lewat skenario: kuis, tabletop, dan walkthrough.</t>
        </is>
      </c>
      <c r="J109" s="5" t="inlineStr">
        <is>
          <t>whoosh</t>
        </is>
      </c>
    </row>
    <row r="110" ht="58" customHeight="1">
      <c r="A110" s="9" t="inlineStr">
        <is>
          <t>M12</t>
        </is>
      </c>
      <c r="B110" s="9" t="n">
        <v>4</v>
      </c>
      <c r="C110" s="9" t="inlineStr">
        <is>
          <t>00:24–00:34</t>
        </is>
      </c>
      <c r="D110" s="11" t="inlineStr">
        <is>
          <t>Bukti</t>
        </is>
      </c>
      <c r="E110" s="5" t="inlineStr">
        <is>
          <t>Kolom skor &amp; rating</t>
        </is>
      </c>
      <c r="F110" s="5" t="inlineStr">
        <is>
          <t>dataroom/03-tenant/simulation/02-recheck.png</t>
        </is>
      </c>
      <c r="G110" s="5" t="inlineStr">
        <is>
          <t>Sorot kolom Skor &amp; Rating ("Poor", "Needs improvement")</t>
        </is>
      </c>
      <c r="H110" s="5" t="inlineStr">
        <is>
          <t>Dinilai dengan rubrik</t>
        </is>
      </c>
      <c r="I110" s="5" t="inlineStr">
        <is>
          <t>Hasilnya dinilai dengan rubrik, jadi kelihatan bagian mana yang perlu dilatih lagi.</t>
        </is>
      </c>
      <c r="J110" s="5" t="inlineStr">
        <is>
          <t>pop</t>
        </is>
      </c>
    </row>
    <row r="111" ht="58" customHeight="1">
      <c r="A111" s="9" t="inlineStr">
        <is>
          <t>M12</t>
        </is>
      </c>
      <c r="B111" s="9" t="n">
        <v>5</v>
      </c>
      <c r="C111" s="9" t="inlineStr">
        <is>
          <t>00:34–00:40</t>
        </is>
      </c>
      <c r="D111" s="11" t="inlineStr">
        <is>
          <t>Bukti</t>
        </is>
      </c>
      <c r="E111" s="5" t="inlineStr">
        <is>
          <t>Ikon AI menyusun skenario</t>
        </is>
      </c>
      <c r="F111" s="5" t="inlineStr">
        <is>
          <t>—</t>
        </is>
      </c>
      <c r="G111" s="5" t="inlineStr">
        <is>
          <t>—</t>
        </is>
      </c>
      <c r="H111" s="5" t="inlineStr">
        <is>
          <t>Skenario kustom dibantu AI</t>
        </is>
      </c>
      <c r="I111" s="5" t="inlineStr">
        <is>
          <t>Skenario sesuai bisnismu bisa disusun dengan bantuan AI.</t>
        </is>
      </c>
      <c r="J111" s="5" t="inlineStr">
        <is>
          <t>shimmer</t>
        </is>
      </c>
    </row>
    <row r="112" ht="58" customHeight="1">
      <c r="A112" s="28" t="inlineStr">
        <is>
          <t>M12</t>
        </is>
      </c>
      <c r="B112" s="28" t="n">
        <v>6</v>
      </c>
      <c r="C112" s="28" t="inlineStr">
        <is>
          <t>00:40–00:45</t>
        </is>
      </c>
      <c r="D112" s="37" t="inlineStr">
        <is>
          <t>CTA</t>
        </is>
      </c>
      <c r="E112" s="38" t="inlineStr">
        <is>
          <t>Logo</t>
        </is>
      </c>
      <c r="F112" s="38" t="inlineStr">
        <is>
          <t>—</t>
        </is>
      </c>
      <c r="G112" s="38" t="inlineStr">
        <is>
          <t>—</t>
        </is>
      </c>
      <c r="H112" s="38" t="inlineStr">
        <is>
          <t>Latih sekarang, tenang nanti.</t>
        </is>
      </c>
      <c r="I112" s="38" t="inlineStr">
        <is>
          <t>Latih sekarang, tenang nanti. Privasimu Nexus.</t>
        </is>
      </c>
      <c r="J112" s="38" t="inlineStr">
        <is>
          <t>sonic logo</t>
        </is>
      </c>
    </row>
    <row r="114" ht="36" customHeight="1">
      <c r="A114" s="43" t="inlineStr">
        <is>
          <t>M13 · Manajemen Risiko Pihak Ketiga (TPRM) · "Datamu aman. Data di pihak ketigamu?" · 60 dtk · Hook (Anomali): Kebocoran bisa lewat pintu yang bukan milikmu.</t>
        </is>
      </c>
    </row>
    <row r="115" ht="58" customHeight="1">
      <c r="A115" s="29" t="inlineStr">
        <is>
          <t>M13</t>
        </is>
      </c>
      <c r="B115" s="29" t="n">
        <v>1</v>
      </c>
      <c r="C115" s="29" t="inlineStr">
        <is>
          <t>00:00–00:04</t>
        </is>
      </c>
      <c r="D115" s="31" t="inlineStr">
        <is>
          <t>Hook</t>
        </is>
      </c>
      <c r="E115" s="30" t="inlineStr">
        <is>
          <t>Rumah terkunci rapat, jendela tetangga terbuka</t>
        </is>
      </c>
      <c r="F115" s="30" t="inlineStr">
        <is>
          <t>—</t>
        </is>
      </c>
      <c r="G115" s="30" t="inlineStr">
        <is>
          <t>—</t>
        </is>
      </c>
      <c r="H115" s="30" t="inlineStr">
        <is>
          <t>Kebocoran bisa lewat pintu orang lain.</t>
        </is>
      </c>
      <c r="I115" s="30" t="inlineStr">
        <is>
          <t>Kebocoran bisa lewat pintu yang bukan milikmu.</t>
        </is>
      </c>
      <c r="J115" s="30" t="inlineStr">
        <is>
          <t>dundun</t>
        </is>
      </c>
    </row>
    <row r="116" ht="58" customHeight="1">
      <c r="A116" s="9" t="inlineStr">
        <is>
          <t>M13</t>
        </is>
      </c>
      <c r="B116" s="9" t="n">
        <v>2</v>
      </c>
      <c r="C116" s="9" t="inlineStr">
        <is>
          <t>00:04–00:10</t>
        </is>
      </c>
      <c r="D116" s="11" t="inlineStr">
        <is>
          <t>Masalah</t>
        </is>
      </c>
      <c r="E116" s="5" t="inlineStr">
        <is>
          <t>Ikon mitra, penyedia layanan, kontraktor</t>
        </is>
      </c>
      <c r="F116" s="5" t="inlineStr">
        <is>
          <t>—</t>
        </is>
      </c>
      <c r="G116" s="5" t="inlineStr">
        <is>
          <t>—</t>
        </is>
      </c>
      <c r="H116" s="5" t="inlineStr">
        <is>
          <t>Pihak ketiga ikut memproses data</t>
        </is>
      </c>
      <c r="I116" s="5" t="inlineStr">
        <is>
          <t>Penyedia layanan, mitra, kontraktor: mereka ikut memproses data pelangganmu.</t>
        </is>
      </c>
      <c r="J116" s="5" t="inlineStr">
        <is>
          <t>pop ×3</t>
        </is>
      </c>
    </row>
    <row r="117" ht="58" customHeight="1">
      <c r="A117" s="9" t="inlineStr">
        <is>
          <t>M13</t>
        </is>
      </c>
      <c r="B117" s="9" t="n">
        <v>3</v>
      </c>
      <c r="C117" s="9" t="inlineStr">
        <is>
          <t>00:10–00:20</t>
        </is>
      </c>
      <c r="D117" s="11" t="inlineStr">
        <is>
          <t>Solusi</t>
        </is>
      </c>
      <c r="E117" s="5" t="inlineStr">
        <is>
          <t>Ringkasan pihak ketiga</t>
        </is>
      </c>
      <c r="F117" s="5" t="inlineStr">
        <is>
          <t>dataroom/03-tenant/vendor-risk/01-overview.png</t>
        </is>
      </c>
      <c r="G117" s="5" t="inlineStr">
        <is>
          <t>Crop [262,40,1002,700]. BLUR kolom Penanggung Jawab. Blur blok user sidebar [0,470,262,140] atau crop mulai x=262. Sorot KPI 15 aktif · 2 kritis</t>
        </is>
      </c>
      <c r="H117" s="5" t="inlineStr">
        <is>
          <t>Semua pihak ketiga terpetakan</t>
        </is>
      </c>
      <c r="I117" s="5" t="inlineStr">
        <is>
          <t>Manajemen Risiko Pihak Ketiga memetakan semua pihak ketiga dan tingkat risikonya.</t>
        </is>
      </c>
      <c r="J117" s="5" t="inlineStr">
        <is>
          <t>whoosh</t>
        </is>
      </c>
    </row>
    <row r="118" ht="58" customHeight="1">
      <c r="A118" s="9" t="inlineStr">
        <is>
          <t>M13</t>
        </is>
      </c>
      <c r="B118" s="9" t="n">
        <v>4</v>
      </c>
      <c r="C118" s="9" t="inlineStr">
        <is>
          <t>00:20–00:28</t>
        </is>
      </c>
      <c r="D118" s="11" t="inlineStr">
        <is>
          <t>Bukti</t>
        </is>
      </c>
      <c r="E118" s="5" t="inlineStr">
        <is>
          <t>Modal kirim pra-asesmen</t>
        </is>
      </c>
      <c r="F118" s="5" t="inlineStr">
        <is>
          <t>dataroom/03-tenant/vendor-risk/08-mulai-asesmen-modal.png</t>
        </is>
      </c>
      <c r="G118" s="5" t="inlineStr">
        <is>
          <t>Crop modal [470,40,760,520]. Sorot "Kirim Pra-Asesmen" &amp; "Tautan Asesmen Publik"</t>
        </is>
      </c>
      <c r="H118" s="5" t="inlineStr">
        <is>
          <t>Kuesioner lewat tautan, tanpa akun</t>
        </is>
      </c>
      <c r="I118" s="5" t="inlineStr">
        <is>
          <t>Kirim kuesioner lewat tautan publik, tanpa perlu akun.</t>
        </is>
      </c>
      <c r="J118" s="5" t="inlineStr">
        <is>
          <t>pop</t>
        </is>
      </c>
    </row>
    <row r="119" ht="58" customHeight="1">
      <c r="A119" s="9" t="inlineStr">
        <is>
          <t>M13</t>
        </is>
      </c>
      <c r="B119" s="9" t="n">
        <v>5</v>
      </c>
      <c r="C119" s="9" t="inlineStr">
        <is>
          <t>00:28–00:36</t>
        </is>
      </c>
      <c r="D119" s="11" t="inlineStr">
        <is>
          <t>Bukti</t>
        </is>
      </c>
      <c r="E119" s="5" t="inlineStr">
        <is>
          <t>Bank pertanyaan</t>
        </is>
      </c>
      <c r="F119" s="5" t="inlineStr">
        <is>
          <t>dataroom/03-tenant/vendor-risk/02-bank-pertanyaan.png</t>
        </is>
      </c>
      <c r="G119" s="5" t="inlineStr">
        <is>
          <t>Crop [262,40,1002,560]. Blur blok user sidebar [0,470,262,140] atau crop mulai x=262. Sorot template "Kepatuhan PDP UU 27/2022 — Pihak Ketiga"</t>
        </is>
      </c>
      <c r="H119" s="5" t="inlineStr">
        <is>
          <t>Bank pertanyaan siap pakai</t>
        </is>
      </c>
      <c r="I119" s="5" t="inlineStr">
        <is>
          <t>Pakai bank pertanyaan kepatuhan PDP yang siap pakai.</t>
        </is>
      </c>
      <c r="J119" s="5" t="inlineStr">
        <is>
          <t>ding</t>
        </is>
      </c>
    </row>
    <row r="120" ht="58" customHeight="1">
      <c r="A120" s="9" t="inlineStr">
        <is>
          <t>M13</t>
        </is>
      </c>
      <c r="B120" s="9" t="n">
        <v>6</v>
      </c>
      <c r="C120" s="9" t="inlineStr">
        <is>
          <t>00:36–00:46</t>
        </is>
      </c>
      <c r="D120" s="11" t="inlineStr">
        <is>
          <t>Bukti</t>
        </is>
      </c>
      <c r="E120" s="5" t="inlineStr">
        <is>
          <t>Detail pihak ketiga + skor AI</t>
        </is>
      </c>
      <c r="F120" s="5" t="inlineStr">
        <is>
          <t>dataroom/03-tenant/vendor-risk/07-detail-pihakketiga.png</t>
        </is>
      </c>
      <c r="G120" s="5" t="inlineStr">
        <is>
          <t>Crop modal [470,40,760,560]. BLUR baris Website. Sorot skor 49 · High</t>
        </is>
      </c>
      <c r="H120" s="5" t="inlineStr">
        <is>
          <t>Skor risiko dari analisis AI</t>
        </is>
      </c>
      <c r="I120" s="5" t="inlineStr">
        <is>
          <t>Jawaban dan dokumen bukti dianalisis AI menjadi skor risiko.</t>
        </is>
      </c>
      <c r="J120" s="5" t="inlineStr">
        <is>
          <t>vineboom kecil</t>
        </is>
      </c>
    </row>
    <row r="121" ht="58" customHeight="1">
      <c r="A121" s="9" t="inlineStr">
        <is>
          <t>M13</t>
        </is>
      </c>
      <c r="B121" s="9" t="n">
        <v>7</v>
      </c>
      <c r="C121" s="9" t="inlineStr">
        <is>
          <t>00:46–00:54</t>
        </is>
      </c>
      <c r="D121" s="11" t="inlineStr">
        <is>
          <t>Bukti</t>
        </is>
      </c>
      <c r="E121" s="5" t="inlineStr">
        <is>
          <t>RoPA pihak ketiga</t>
        </is>
      </c>
      <c r="F121" s="5" t="inlineStr">
        <is>
          <t>frontend/tmp/audit4/vendor-risk__ropa-pihak-ketiga.png</t>
        </is>
      </c>
      <c r="G121" s="5" t="inlineStr">
        <is>
          <t>Crop [200,40,1240,300]. Blur nama org [300,22,200,26]; buang sidebar (x&lt;200)</t>
        </is>
      </c>
      <c r="H121" s="5" t="inlineStr">
        <is>
          <t>Terhubung ke RoPA &amp; kontrak</t>
        </is>
      </c>
      <c r="I121" s="5" t="inlineStr">
        <is>
          <t>Terhubung ke RoPA dan kontrak pihak ketiga.</t>
        </is>
      </c>
      <c r="J121" s="5" t="inlineStr">
        <is>
          <t>check</t>
        </is>
      </c>
    </row>
    <row r="122" ht="58" customHeight="1">
      <c r="A122" s="28" t="inlineStr">
        <is>
          <t>M13</t>
        </is>
      </c>
      <c r="B122" s="28" t="n">
        <v>8</v>
      </c>
      <c r="C122" s="28" t="inlineStr">
        <is>
          <t>00:54–01:00</t>
        </is>
      </c>
      <c r="D122" s="37" t="inlineStr">
        <is>
          <t>CTA</t>
        </is>
      </c>
      <c r="E122" s="38" t="inlineStr">
        <is>
          <t>Semua jendela tertutup rapi</t>
        </is>
      </c>
      <c r="F122" s="38" t="inlineStr">
        <is>
          <t>—</t>
        </is>
      </c>
      <c r="G122" s="38" t="inlineStr">
        <is>
          <t>—</t>
        </is>
      </c>
      <c r="H122" s="38" t="inlineStr">
        <is>
          <t>Jaga juga pintu orang lain.</t>
        </is>
      </c>
      <c r="I122" s="38" t="inlineStr">
        <is>
          <t>Jaga juga pintu yang bukan milikmu. Privasimu Nexus.</t>
        </is>
      </c>
      <c r="J122" s="38" t="inlineStr">
        <is>
          <t>sonic logo</t>
        </is>
      </c>
    </row>
    <row r="124" ht="36" customHeight="1">
      <c r="A124" s="43" t="inlineStr">
        <is>
          <t>M14 · Transfer Data Lintas Negara &amp; TIA · ""Di cloud" bukan jawaban lokasi" · 50 dtk · Hook (Logika dipatahkan): "Datanya di mana?" "Di cloud." "Cloud-nya di negara mana?" …</t>
        </is>
      </c>
    </row>
    <row r="125" ht="58" customHeight="1">
      <c r="A125" s="29" t="inlineStr">
        <is>
          <t>M14</t>
        </is>
      </c>
      <c r="B125" s="29" t="n">
        <v>1</v>
      </c>
      <c r="C125" s="29" t="inlineStr">
        <is>
          <t>00:00–00:04</t>
        </is>
      </c>
      <c r="D125" s="31" t="inlineStr">
        <is>
          <t>Hook</t>
        </is>
      </c>
      <c r="E125" s="30" t="inlineStr">
        <is>
          <t>Chat 3 balon, lalu jangkrik</t>
        </is>
      </c>
      <c r="F125" s="30" t="inlineStr">
        <is>
          <t>—</t>
        </is>
      </c>
      <c r="G125" s="30" t="inlineStr">
        <is>
          <t>—</t>
        </is>
      </c>
      <c r="H125" s="30" t="inlineStr">
        <is>
          <t>"Di cloud." "Cloud-nya di negara mana?"</t>
        </is>
      </c>
      <c r="I125" s="30" t="inlineStr">
        <is>
          <t>Data pelanggan disimpan di mana? Di cloud. Cloud-nya di negara mana?</t>
        </is>
      </c>
      <c r="J125" s="30" t="inlineStr">
        <is>
          <t>crickets</t>
        </is>
      </c>
    </row>
    <row r="126" ht="58" customHeight="1">
      <c r="A126" s="9" t="inlineStr">
        <is>
          <t>M14</t>
        </is>
      </c>
      <c r="B126" s="9" t="n">
        <v>2</v>
      </c>
      <c r="C126" s="9" t="inlineStr">
        <is>
          <t>00:04–00:12</t>
        </is>
      </c>
      <c r="D126" s="11" t="inlineStr">
        <is>
          <t>Fakta</t>
        </is>
      </c>
      <c r="E126" s="5" t="inlineStr">
        <is>
          <t>Peta dunia dengan panah data</t>
        </is>
      </c>
      <c r="F126" s="5" t="inlineStr">
        <is>
          <t>—</t>
        </is>
      </c>
      <c r="G126" s="5" t="inlineStr">
        <is>
          <t>—</t>
        </is>
      </c>
      <c r="H126" s="5" t="inlineStr">
        <is>
          <t>Transfer ke luar negeri wajib dinilai</t>
        </is>
      </c>
      <c r="I126" s="5" t="inlineStr">
        <is>
          <t>Transfer ke luar negeri wajib memastikan pelindungan di negara tujuan setara atau memadai.</t>
        </is>
      </c>
      <c r="J126" s="5" t="inlineStr">
        <is>
          <t>sweep</t>
        </is>
      </c>
    </row>
    <row r="127" ht="58" customHeight="1">
      <c r="A127" s="9" t="inlineStr">
        <is>
          <t>M14</t>
        </is>
      </c>
      <c r="B127" s="9" t="n">
        <v>3</v>
      </c>
      <c r="C127" s="9" t="inlineStr">
        <is>
          <t>00:12–00:24</t>
        </is>
      </c>
      <c r="D127" s="11" t="inlineStr">
        <is>
          <t>Solusi</t>
        </is>
      </c>
      <c r="E127" s="5" t="inlineStr">
        <is>
          <t>Register transfer lintas batas</t>
        </is>
      </c>
      <c r="F127" s="5" t="inlineStr">
        <is>
          <t>dataroom/03-tenant/cross-border/01-overview.png</t>
        </is>
      </c>
      <c r="G127" s="5" t="inlineStr">
        <is>
          <t>Crop [262,40,1002,640]. BLUR kolom Entitas Tujuan (ada merek penyedia cloud). Blur blok user sidebar [0,470,262,140] atau crop mulai x=262. Sorot peta negara tujuan + kolom TIA Score</t>
        </is>
      </c>
      <c r="H127" s="5" t="inlineStr">
        <is>
          <t>Setiap transfer terdaftar</t>
        </is>
      </c>
      <c r="I127" s="5" t="inlineStr">
        <is>
          <t>Di Nexus, setiap transfer lintas negara terdaftar: tujuan, negara, risiko, dan skor TIA-nya.</t>
        </is>
      </c>
      <c r="J127" s="5" t="inlineStr">
        <is>
          <t>whoosh</t>
        </is>
      </c>
    </row>
    <row r="128" ht="58" customHeight="1">
      <c r="A128" s="9" t="inlineStr">
        <is>
          <t>M14</t>
        </is>
      </c>
      <c r="B128" s="9" t="n">
        <v>4</v>
      </c>
      <c r="C128" s="9" t="inlineStr">
        <is>
          <t>00:24–00:36</t>
        </is>
      </c>
      <c r="D128" s="11" t="inlineStr">
        <is>
          <t>Bukti</t>
        </is>
      </c>
      <c r="E128" s="5" t="inlineStr">
        <is>
          <t>Daftar TIA</t>
        </is>
      </c>
      <c r="F128" s="5" t="inlineStr">
        <is>
          <t>dataroom/03-tenant/tia/01-overview.png</t>
        </is>
      </c>
      <c r="G128" s="5" t="inlineStr">
        <is>
          <t>Crop [262,40,1002,620]. Blur blok user sidebar [0,470,262,140] atau crop mulai x=262. Sorot negara tujuan &amp; status</t>
        </is>
      </c>
      <c r="H128" s="5" t="inlineStr">
        <is>
          <t>Transfer Impact Assessment</t>
        </is>
      </c>
      <c r="I128" s="5" t="inlineStr">
        <is>
          <t>Transfer Impact Assessment menilai dampaknya, lalu ditinjau dan disetujui.</t>
        </is>
      </c>
      <c r="J128" s="5" t="inlineStr">
        <is>
          <t>check</t>
        </is>
      </c>
    </row>
    <row r="129" ht="58" customHeight="1">
      <c r="A129" s="9" t="inlineStr">
        <is>
          <t>M14</t>
        </is>
      </c>
      <c r="B129" s="9" t="n">
        <v>5</v>
      </c>
      <c r="C129" s="9" t="inlineStr">
        <is>
          <t>00:36–00:44</t>
        </is>
      </c>
      <c r="D129" s="11" t="inlineStr">
        <is>
          <t>Bukti</t>
        </is>
      </c>
      <c r="E129" s="5" t="inlineStr">
        <is>
          <t>Ikon timbangan: setara / memadai</t>
        </is>
      </c>
      <c r="F129" s="5" t="inlineStr">
        <is>
          <t>—</t>
        </is>
      </c>
      <c r="G129" s="5" t="inlineStr">
        <is>
          <t>—</t>
        </is>
      </c>
      <c r="H129" s="5" t="inlineStr">
        <is>
          <t>Pemetaan setara / memadai</t>
        </is>
      </c>
      <c r="I129" s="5" t="inlineStr">
        <is>
          <t>Lengkap dengan pemetaan pelindungan yang setara atau memadai.</t>
        </is>
      </c>
      <c r="J129" s="5" t="inlineStr">
        <is>
          <t>ding</t>
        </is>
      </c>
    </row>
    <row r="130" ht="58" customHeight="1">
      <c r="A130" s="28" t="inlineStr">
        <is>
          <t>M14</t>
        </is>
      </c>
      <c r="B130" s="28" t="n">
        <v>6</v>
      </c>
      <c r="C130" s="28" t="inlineStr">
        <is>
          <t>00:44–00:50</t>
        </is>
      </c>
      <c r="D130" s="37" t="inlineStr">
        <is>
          <t>CTA</t>
        </is>
      </c>
      <c r="E130" s="38" t="inlineStr">
        <is>
          <t>Logo</t>
        </is>
      </c>
      <c r="F130" s="38" t="inlineStr">
        <is>
          <t>—</t>
        </is>
      </c>
      <c r="G130" s="38" t="inlineStr">
        <is>
          <t>—</t>
        </is>
      </c>
      <c r="H130" s="38" t="inlineStr">
        <is>
          <t>"Di cloud" bukan jawaban.</t>
        </is>
      </c>
      <c r="I130" s="38" t="inlineStr">
        <is>
          <t>Di cloud bukan jawaban. Privasimu Nexus.</t>
        </is>
      </c>
      <c r="J130" s="38" t="inlineStr">
        <is>
          <t>sonic logo</t>
        </is>
      </c>
    </row>
    <row r="132" ht="36" customHeight="1">
      <c r="A132" s="43" t="inlineStr">
        <is>
          <t>M15 · Data Discovery &amp; Mapping · "Yang paling berisiko: data yang tak kamu tahu ada" · 50 dtk · Hook (Logika dipatahkan): Data paling berisiko bukan yang paling sensitif… tapi yang tidak kamu tahu ada.</t>
        </is>
      </c>
    </row>
    <row r="133" ht="58" customHeight="1">
      <c r="A133" s="29" t="inlineStr">
        <is>
          <t>M15</t>
        </is>
      </c>
      <c r="B133" s="29" t="n">
        <v>1</v>
      </c>
      <c r="C133" s="29" t="inlineStr">
        <is>
          <t>00:00–00:04</t>
        </is>
      </c>
      <c r="D133" s="31" t="inlineStr">
        <is>
          <t>Hook</t>
        </is>
      </c>
      <c r="E133" s="30" t="inlineStr">
        <is>
          <t>Peta gudang dengan area "???"</t>
        </is>
      </c>
      <c r="F133" s="30" t="inlineStr">
        <is>
          <t>—</t>
        </is>
      </c>
      <c r="G133" s="30" t="inlineStr">
        <is>
          <t>—</t>
        </is>
      </c>
      <c r="H133" s="30" t="inlineStr">
        <is>
          <t>Data paling berisiko = yang tak tercatat</t>
        </is>
      </c>
      <c r="I133" s="30" t="inlineStr">
        <is>
          <t>Data paling berisiko bukan yang paling sensitif… tapi yang tidak kamu tahu ada.</t>
        </is>
      </c>
      <c r="J133" s="30" t="inlineStr">
        <is>
          <t>vineboom</t>
        </is>
      </c>
    </row>
    <row r="134" ht="58" customHeight="1">
      <c r="A134" s="9" t="inlineStr">
        <is>
          <t>M15</t>
        </is>
      </c>
      <c r="B134" s="9" t="n">
        <v>2</v>
      </c>
      <c r="C134" s="9" t="inlineStr">
        <is>
          <t>00:04–00:10</t>
        </is>
      </c>
      <c r="D134" s="11" t="inlineStr">
        <is>
          <t>Masalah</t>
        </is>
      </c>
      <c r="E134" s="5" t="inlineStr">
        <is>
          <t>Gelembung pikiran tim TI berisi nama server</t>
        </is>
      </c>
      <c r="F134" s="5" t="inlineStr">
        <is>
          <t>—</t>
        </is>
      </c>
      <c r="G134" s="5" t="inlineStr">
        <is>
          <t>—</t>
        </is>
      </c>
      <c r="H134" s="5" t="inlineStr">
        <is>
          <t>Lokasi data = ingatan tim TI</t>
        </is>
      </c>
      <c r="I134" s="5" t="inlineStr">
        <is>
          <t>Selama ini, lokasi data pribadi cuma ada di ingatan tim TI.</t>
        </is>
      </c>
      <c r="J134" s="5" t="inlineStr">
        <is>
          <t>tick</t>
        </is>
      </c>
    </row>
    <row r="135" ht="58" customHeight="1">
      <c r="A135" s="9" t="inlineStr">
        <is>
          <t>M15</t>
        </is>
      </c>
      <c r="B135" s="9" t="n">
        <v>3</v>
      </c>
      <c r="C135" s="9" t="inlineStr">
        <is>
          <t>00:10–00:22</t>
        </is>
      </c>
      <c r="D135" s="11" t="inlineStr">
        <is>
          <t>Solusi</t>
        </is>
      </c>
      <c r="E135" s="5" t="inlineStr">
        <is>
          <t>Katalog sistem &amp; hasil pindai</t>
        </is>
      </c>
      <c r="F135" s="5" t="inlineStr">
        <is>
          <t>dataroom/03-tenant/data-discovery/01-overview.png</t>
        </is>
      </c>
      <c r="G135" s="5" t="inlineStr">
        <is>
          <t>Crop [262,40,1260,620] (gambar selebar 1522). Blur blok user sidebar [0,470,262,140] atau crop mulai x=262. Sorot KPI "187 PII" + status scan</t>
        </is>
      </c>
      <c r="H135" s="5" t="inlineStr">
        <is>
          <t>Temukan &amp; klasifikasi otomatis</t>
        </is>
      </c>
      <c r="I135" s="5" t="inlineStr">
        <is>
          <t>Data Discovery memindai sumber data dan menandai kolom berisi data pribadi, umum maupun spesifik.</t>
        </is>
      </c>
      <c r="J135" s="5" t="inlineStr">
        <is>
          <t>sweep</t>
        </is>
      </c>
    </row>
    <row r="136" ht="58" customHeight="1">
      <c r="A136" s="9" t="inlineStr">
        <is>
          <t>M15</t>
        </is>
      </c>
      <c r="B136" s="9" t="n">
        <v>4</v>
      </c>
      <c r="C136" s="9" t="inlineStr">
        <is>
          <t>00:22–00:32</t>
        </is>
      </c>
      <c r="D136" s="11" t="inlineStr">
        <is>
          <t>Bukti</t>
        </is>
      </c>
      <c r="E136" s="5" t="inlineStr">
        <is>
          <t>Kolom PDP Alert &amp; PII per sistem</t>
        </is>
      </c>
      <c r="F136" s="5" t="inlineStr">
        <is>
          <t>dataroom/03-tenant/data-discovery/01-overview.png</t>
        </is>
      </c>
      <c r="G136" s="5" t="inlineStr">
        <is>
          <t>Sorot kolom PDP Alert/PII</t>
        </is>
      </c>
      <c r="H136" s="5" t="inlineStr">
        <is>
          <t>Setiap sistem, lengkap temuannya</t>
        </is>
      </c>
      <c r="I136" s="5" t="inlineStr">
        <is>
          <t>Setiap sistem masuk katalog, lengkap dengan temuan data pribadinya.</t>
        </is>
      </c>
      <c r="J136" s="5" t="inlineStr">
        <is>
          <t>pop</t>
        </is>
      </c>
    </row>
    <row r="137" ht="58" customHeight="1">
      <c r="A137" s="35" t="inlineStr">
        <is>
          <t>M15</t>
        </is>
      </c>
      <c r="B137" s="35" t="n">
        <v>5</v>
      </c>
      <c r="C137" s="35" t="inlineStr">
        <is>
          <t>00:32–00:40</t>
        </is>
      </c>
      <c r="D137" s="44" t="inlineStr">
        <is>
          <t>Bukti</t>
        </is>
      </c>
      <c r="E137" s="42" t="inlineStr">
        <is>
          <t>Hasil "Scan Pencarian Person"</t>
        </is>
      </c>
      <c r="F137" s="42" t="inlineStr">
        <is>
          <t>BELUM ADA: ambil screenshot hasil pencarian satu orang (data dummy)</t>
        </is>
      </c>
      <c r="G137" s="42" t="inlineStr">
        <is>
          <t>—</t>
        </is>
      </c>
      <c r="H137" s="42" t="inlineStr">
        <is>
          <t>Cari data milik satu orang</t>
        </is>
      </c>
      <c r="I137" s="42" t="inlineStr">
        <is>
          <t>Cari semua data milik satu orang, untuk menjawab permohonan hak subjek data.</t>
        </is>
      </c>
      <c r="J137" s="42" t="inlineStr">
        <is>
          <t>coin</t>
        </is>
      </c>
    </row>
    <row r="138" ht="58" customHeight="1">
      <c r="A138" s="9" t="inlineStr">
        <is>
          <t>M15</t>
        </is>
      </c>
      <c r="B138" s="9" t="n">
        <v>6</v>
      </c>
      <c r="C138" s="9" t="inlineStr">
        <is>
          <t>00:40–00:46</t>
        </is>
      </c>
      <c r="D138" s="11" t="inlineStr">
        <is>
          <t>Bukti</t>
        </is>
      </c>
      <c r="E138" s="5" t="inlineStr">
        <is>
          <t>Ikon rantai kolom → RoPA</t>
        </is>
      </c>
      <c r="F138" s="5" t="inlineStr">
        <is>
          <t>—</t>
        </is>
      </c>
      <c r="G138" s="5" t="inlineStr">
        <is>
          <t>—</t>
        </is>
      </c>
      <c r="H138" s="5" t="inlineStr">
        <is>
          <t>Tertaut ke RoPA</t>
        </is>
      </c>
      <c r="I138" s="5" t="inlineStr">
        <is>
          <t>Dan temuannya tertaut ke RoPA.</t>
        </is>
      </c>
      <c r="J138" s="5" t="inlineStr">
        <is>
          <t>check</t>
        </is>
      </c>
    </row>
    <row r="139" ht="58" customHeight="1">
      <c r="A139" s="28" t="inlineStr">
        <is>
          <t>M15</t>
        </is>
      </c>
      <c r="B139" s="28" t="n">
        <v>7</v>
      </c>
      <c r="C139" s="28" t="inlineStr">
        <is>
          <t>00:46–00:50</t>
        </is>
      </c>
      <c r="D139" s="37" t="inlineStr">
        <is>
          <t>CTA</t>
        </is>
      </c>
      <c r="E139" s="38" t="inlineStr">
        <is>
          <t>Logo</t>
        </is>
      </c>
      <c r="F139" s="38" t="inlineStr">
        <is>
          <t>—</t>
        </is>
      </c>
      <c r="G139" s="38" t="inlineStr">
        <is>
          <t>—</t>
        </is>
      </c>
      <c r="H139" s="38" t="inlineStr">
        <is>
          <t>Temukan sebelum ditemukan.</t>
        </is>
      </c>
      <c r="I139" s="38" t="inlineStr">
        <is>
          <t>Temukan datamu sebelum orang lain menemukannya. Privasimu Nexus.</t>
        </is>
      </c>
      <c r="J139" s="38" t="inlineStr">
        <is>
          <t>sonic logo</t>
        </is>
      </c>
    </row>
    <row r="141" ht="36" customHeight="1">
      <c r="A141" s="43" t="inlineStr">
        <is>
          <t>M16 · Telaah Kebijakan &amp; Policy Generator · "Kebijakanmu lebih tua dari UU PDP?" · 55 dtk · Hook (Anomali): Kebijakan privasi di situsmu mungkin lebih tua dari UU PDP.</t>
        </is>
      </c>
    </row>
    <row r="142" ht="58" customHeight="1">
      <c r="A142" s="29" t="inlineStr">
        <is>
          <t>M16</t>
        </is>
      </c>
      <c r="B142" s="29" t="n">
        <v>1</v>
      </c>
      <c r="C142" s="29" t="inlineStr">
        <is>
          <t>00:00–00:04</t>
        </is>
      </c>
      <c r="D142" s="31" t="inlineStr">
        <is>
          <t>Hook</t>
        </is>
      </c>
      <c r="E142" s="30" t="inlineStr">
        <is>
          <t>Dokumen berdebu bertanggal lama, debu ditiup</t>
        </is>
      </c>
      <c r="F142" s="30" t="inlineStr">
        <is>
          <t>—</t>
        </is>
      </c>
      <c r="G142" s="30" t="inlineStr">
        <is>
          <t>—</t>
        </is>
      </c>
      <c r="H142" s="30" t="inlineStr">
        <is>
          <t>Lebih tua dari UU PDP?</t>
        </is>
      </c>
      <c r="I142" s="30" t="inlineStr">
        <is>
          <t>Kebijakan privasi di situsmu mungkin lebih tua dari UU PDP.</t>
        </is>
      </c>
      <c r="J142" s="30" t="inlineStr">
        <is>
          <t>whoosh</t>
        </is>
      </c>
    </row>
    <row r="143" ht="58" customHeight="1">
      <c r="A143" s="9" t="inlineStr">
        <is>
          <t>M16</t>
        </is>
      </c>
      <c r="B143" s="9" t="n">
        <v>2</v>
      </c>
      <c r="C143" s="9" t="inlineStr">
        <is>
          <t>00:04–00:10</t>
        </is>
      </c>
      <c r="D143" s="11" t="inlineStr">
        <is>
          <t>Fakta</t>
        </is>
      </c>
      <c r="E143" s="5" t="inlineStr">
        <is>
          <t>Garis waktu: UU PDP 2022 · PP 33/2026</t>
        </is>
      </c>
      <c r="F143" s="5" t="inlineStr">
        <is>
          <t>—</t>
        </is>
      </c>
      <c r="G143" s="5" t="inlineStr">
        <is>
          <t>—</t>
        </is>
      </c>
      <c r="H143" s="5" t="inlineStr">
        <is>
          <t>UU PDP 2022 · PP 33/2026</t>
        </is>
      </c>
      <c r="I143" s="5" t="inlineStr">
        <is>
          <t>UU PDP lahir dua ribu dua puluh dua. PP tiga puluh tiga, dua ribu dua puluh enam. Kebijakanmu?</t>
        </is>
      </c>
      <c r="J143" s="5" t="inlineStr">
        <is>
          <t>flip</t>
        </is>
      </c>
    </row>
    <row r="144" ht="58" customHeight="1">
      <c r="A144" s="9" t="inlineStr">
        <is>
          <t>M16</t>
        </is>
      </c>
      <c r="B144" s="9" t="n">
        <v>3</v>
      </c>
      <c r="C144" s="9" t="inlineStr">
        <is>
          <t>00:10–00:20</t>
        </is>
      </c>
      <c r="D144" s="11" t="inlineStr">
        <is>
          <t>Solusi</t>
        </is>
      </c>
      <c r="E144" s="5" t="inlineStr">
        <is>
          <t>Daftar telaah kebijakan</t>
        </is>
      </c>
      <c r="F144" s="5" t="inlineStr">
        <is>
          <t>motion/assets/app/policy-review.png</t>
        </is>
      </c>
      <c r="G144" s="5" t="inlineStr">
        <is>
          <t>Siap pakai. Sorot ringkasan kesesuaian</t>
        </is>
      </c>
      <c r="H144" s="5" t="inlineStr">
        <is>
          <t>Telaah per bab</t>
        </is>
      </c>
      <c r="I144" s="5" t="inlineStr">
        <is>
          <t>Telaah Kebijakan menelaah kebijakan internal per bab terhadap UU PDP dan PP tiga puluh tiga.</t>
        </is>
      </c>
      <c r="J144" s="5" t="inlineStr">
        <is>
          <t>sweep</t>
        </is>
      </c>
    </row>
    <row r="145" ht="58" customHeight="1">
      <c r="A145" s="9" t="inlineStr">
        <is>
          <t>M16</t>
        </is>
      </c>
      <c r="B145" s="9" t="n">
        <v>4</v>
      </c>
      <c r="C145" s="9" t="inlineStr">
        <is>
          <t>00:20–00:32</t>
        </is>
      </c>
      <c r="D145" s="11" t="inlineStr">
        <is>
          <t>Bukti</t>
        </is>
      </c>
      <c r="E145" s="5" t="inlineStr">
        <is>
          <t>Hasil telaah + rekomendasi</t>
        </is>
      </c>
      <c r="F145" s="5" t="inlineStr">
        <is>
          <t>frontend/tmp/audit4/policy-review__60c9fc83-b09e-4399-ab4f-dbe083655bd7.png</t>
        </is>
      </c>
      <c r="G145" s="5" t="inlineStr">
        <is>
          <t>Crop [200,40,1240,700]. Blur nama org [300,22,200,26]; buang sidebar (x&lt;200). Sorot skor kesesuaian + temuan &amp; rekomendasi</t>
        </is>
      </c>
      <c r="H145" s="5" t="inlineStr">
        <is>
          <t>Temuan &amp; rekomendasi per bab</t>
        </is>
      </c>
      <c r="I145" s="5" t="inlineStr">
        <is>
          <t>Setiap bab dapat temuan dan rekomendasi, dan hasilnya bisa disunting konsultan.</t>
        </is>
      </c>
      <c r="J145" s="5" t="inlineStr">
        <is>
          <t>pop</t>
        </is>
      </c>
    </row>
    <row r="146" ht="58" customHeight="1">
      <c r="A146" s="9" t="inlineStr">
        <is>
          <t>M16</t>
        </is>
      </c>
      <c r="B146" s="9" t="n">
        <v>5</v>
      </c>
      <c r="C146" s="9" t="inlineStr">
        <is>
          <t>00:32–00:40</t>
        </is>
      </c>
      <c r="D146" s="11" t="inlineStr">
        <is>
          <t>Bukti</t>
        </is>
      </c>
      <c r="E146" s="5" t="inlineStr">
        <is>
          <t>Kerangka pembanding regulasi</t>
        </is>
      </c>
      <c r="F146" s="5" t="inlineStr">
        <is>
          <t>frontend/tmp/audit4/contract-review__kerangka.png</t>
        </is>
      </c>
      <c r="G146" s="5" t="inlineStr">
        <is>
          <t>Crop [200,40,1240,360]. Blur nama org [300,22,200,26]; buang sidebar (x&lt;200). Sorot kartu UU PDP (76 pasal) &amp; PP 33/2026 (225 pasal)</t>
        </is>
      </c>
      <c r="H146" s="5" t="inlineStr">
        <is>
          <t>Pasal dari knowledge base</t>
        </is>
      </c>
      <c r="I146" s="5" t="inlineStr">
        <is>
          <t>Bunyi pasal diambil dari knowledge base regulasi, bukan dikarang AI.</t>
        </is>
      </c>
      <c r="J146" s="5" t="inlineStr">
        <is>
          <t>ding</t>
        </is>
      </c>
    </row>
    <row r="147" ht="58" customHeight="1">
      <c r="A147" s="9" t="inlineStr">
        <is>
          <t>M16</t>
        </is>
      </c>
      <c r="B147" s="9" t="n">
        <v>6</v>
      </c>
      <c r="C147" s="9" t="inlineStr">
        <is>
          <t>00:40–00:50</t>
        </is>
      </c>
      <c r="D147" s="11" t="inlineStr">
        <is>
          <t>Bukti</t>
        </is>
      </c>
      <c r="E147" s="5" t="inlineStr">
        <is>
          <t>Wizard Policy Generator</t>
        </is>
      </c>
      <c r="F147" s="5" t="inlineStr">
        <is>
          <t>frontend/tmp/audit4/policy-generator__new.png</t>
        </is>
      </c>
      <c r="G147" s="5" t="inlineStr">
        <is>
          <t>Crop [560,100,800,700]. Blur nama org [300,22,200,26]; buang sidebar (x&lt;200). Sorot pilihan audiens &amp; bahasa</t>
        </is>
      </c>
      <c r="H147" s="5" t="inlineStr">
        <is>
          <t>Draf baru per audiens</t>
        </is>
      </c>
      <c r="I147" s="5" t="inlineStr">
        <is>
          <t>Belum punya kebijakan? Policy Generator membantu menyusun draf untuk tiap audiens.</t>
        </is>
      </c>
      <c r="J147" s="5" t="inlineStr">
        <is>
          <t>shimmer</t>
        </is>
      </c>
    </row>
    <row r="148" ht="58" customHeight="1">
      <c r="A148" s="28" t="inlineStr">
        <is>
          <t>M16</t>
        </is>
      </c>
      <c r="B148" s="28" t="n">
        <v>7</v>
      </c>
      <c r="C148" s="28" t="inlineStr">
        <is>
          <t>00:50–00:55</t>
        </is>
      </c>
      <c r="D148" s="37" t="inlineStr">
        <is>
          <t>CTA</t>
        </is>
      </c>
      <c r="E148" s="38" t="inlineStr">
        <is>
          <t>Logo</t>
        </is>
      </c>
      <c r="F148" s="38" t="inlineStr">
        <is>
          <t>—</t>
        </is>
      </c>
      <c r="G148" s="38" t="inlineStr">
        <is>
          <t>—</t>
        </is>
      </c>
      <c r="H148" s="38" t="inlineStr">
        <is>
          <t>Perbarui sebelum ditanya.</t>
        </is>
      </c>
      <c r="I148" s="38" t="inlineStr">
        <is>
          <t>Perbarui kebijakanmu sebelum ditanya. Privasimu Nexus.</t>
        </is>
      </c>
      <c r="J148" s="38" t="inlineStr">
        <is>
          <t>sonic logo</t>
        </is>
      </c>
    </row>
    <row r="150" ht="36" customHeight="1">
      <c r="A150" s="43" t="inlineStr">
        <is>
          <t>M17 · Telaah Kontrak &amp; Document Maker · "Kontrak diteken ≠ data aman" · 55 dtk · Hook (Logika dipatahkan): Kontrak sudah ditandatangani… bukan berarti datanya aman.</t>
        </is>
      </c>
    </row>
    <row r="151" ht="58" customHeight="1">
      <c r="A151" s="29" t="inlineStr">
        <is>
          <t>M17</t>
        </is>
      </c>
      <c r="B151" s="29" t="n">
        <v>1</v>
      </c>
      <c r="C151" s="29" t="inlineStr">
        <is>
          <t>00:00–00:04</t>
        </is>
      </c>
      <c r="D151" s="31" t="inlineStr">
        <is>
          <t>Hook</t>
        </is>
      </c>
      <c r="E151" s="30" t="inlineStr">
        <is>
          <t>Pena menandatangani kontrak, lalu stempel "?"</t>
        </is>
      </c>
      <c r="F151" s="30" t="inlineStr">
        <is>
          <t>—</t>
        </is>
      </c>
      <c r="G151" s="30" t="inlineStr">
        <is>
          <t>—</t>
        </is>
      </c>
      <c r="H151" s="30" t="inlineStr">
        <is>
          <t>Diteken ≠ aman</t>
        </is>
      </c>
      <c r="I151" s="30" t="inlineStr">
        <is>
          <t>Kontrak sudah ditandatangani, bukan berarti datanya aman.</t>
        </is>
      </c>
      <c r="J151" s="30" t="inlineStr">
        <is>
          <t>stamp</t>
        </is>
      </c>
    </row>
    <row r="152" ht="58" customHeight="1">
      <c r="A152" s="9" t="inlineStr">
        <is>
          <t>M17</t>
        </is>
      </c>
      <c r="B152" s="9" t="n">
        <v>2</v>
      </c>
      <c r="C152" s="9" t="inlineStr">
        <is>
          <t>00:04–00:10</t>
        </is>
      </c>
      <c r="D152" s="11" t="inlineStr">
        <is>
          <t>Masalah</t>
        </is>
      </c>
      <c r="E152" s="5" t="inlineStr">
        <is>
          <t>Map "NDA" vs map "Perjanjian Pemrosesan Data"</t>
        </is>
      </c>
      <c r="F152" s="5" t="inlineStr">
        <is>
          <t>—</t>
        </is>
      </c>
      <c r="G152" s="5" t="inlineStr">
        <is>
          <t>—</t>
        </is>
      </c>
      <c r="H152" s="5" t="inlineStr">
        <is>
          <t>NDA ≠ perjanjian pemrosesan data</t>
        </is>
      </c>
      <c r="I152" s="5" t="inlineStr">
        <is>
          <t>NDA bukan perjanjian pemrosesan data.</t>
        </is>
      </c>
      <c r="J152" s="5" t="inlineStr">
        <is>
          <t>buzzer</t>
        </is>
      </c>
    </row>
    <row r="153" ht="58" customHeight="1">
      <c r="A153" s="9" t="inlineStr">
        <is>
          <t>M17</t>
        </is>
      </c>
      <c r="B153" s="9" t="n">
        <v>3</v>
      </c>
      <c r="C153" s="9" t="inlineStr">
        <is>
          <t>00:10–00:22</t>
        </is>
      </c>
      <c r="D153" s="11" t="inlineStr">
        <is>
          <t>Solusi</t>
        </is>
      </c>
      <c r="E153" s="5" t="inlineStr">
        <is>
          <t>Ringkasan portofolio kontrak</t>
        </is>
      </c>
      <c r="F153" s="5" t="inlineStr">
        <is>
          <t>frontend/tmp/audit4/contract-review.png</t>
        </is>
      </c>
      <c r="G153" s="5" t="inlineStr">
        <is>
          <t>Crop [200,40,1240,520]. Blur nama org [300,22,200,26]; buang sidebar (x&lt;200). Sorot kepatuhan rata-rata + "pasal yang sering belum dipenuhi"</t>
        </is>
      </c>
      <c r="H153" s="5" t="inlineStr">
        <is>
          <t>Telaah per bab</t>
        </is>
      </c>
      <c r="I153" s="5" t="inlineStr">
        <is>
          <t>Telaah Kontrak menelaah DPA, kontrak pihak ketiga, NDA, dan kontrak pelanggan per bab.</t>
        </is>
      </c>
      <c r="J153" s="5" t="inlineStr">
        <is>
          <t>sweep</t>
        </is>
      </c>
    </row>
    <row r="154" ht="58" customHeight="1">
      <c r="A154" s="9" t="inlineStr">
        <is>
          <t>M17</t>
        </is>
      </c>
      <c r="B154" s="9" t="n">
        <v>4</v>
      </c>
      <c r="C154" s="9" t="inlineStr">
        <is>
          <t>00:22–00:34</t>
        </is>
      </c>
      <c r="D154" s="11" t="inlineStr">
        <is>
          <t>Bukti</t>
        </is>
      </c>
      <c r="E154" s="5" t="inlineStr">
        <is>
          <t>Hasil telaah + rekomendasi klausul</t>
        </is>
      </c>
      <c r="F154" s="5" t="inlineStr">
        <is>
          <t>frontend/tmp/audit4/contract-review__fca95cc6-55c3-45b6-a3b8-c39d89683396.png</t>
        </is>
      </c>
      <c r="G154" s="5" t="inlineStr">
        <is>
          <t>Crop [200,40,1240,700]. Blur nama org [300,22,200,26]; buang sidebar (x&lt;200). Sorot rekomendasi</t>
        </is>
      </c>
      <c r="H154" s="5" t="inlineStr">
        <is>
          <t>Rekomendasi klausul</t>
        </is>
      </c>
      <c r="I154" s="5" t="inlineStr">
        <is>
          <t>Rujukan pasal diverifikasi ke knowledge base, lengkap dengan rekomendasi klausul.</t>
        </is>
      </c>
      <c r="J154" s="5" t="inlineStr">
        <is>
          <t>pop</t>
        </is>
      </c>
    </row>
    <row r="155" ht="58" customHeight="1">
      <c r="A155" s="9" t="inlineStr">
        <is>
          <t>M17</t>
        </is>
      </c>
      <c r="B155" s="9" t="n">
        <v>5</v>
      </c>
      <c r="C155" s="9" t="inlineStr">
        <is>
          <t>00:34–00:46</t>
        </is>
      </c>
      <c r="D155" s="11" t="inlineStr">
        <is>
          <t>Bukti</t>
        </is>
      </c>
      <c r="E155" s="5" t="inlineStr">
        <is>
          <t>Dokumen jadi (Document Maker)</t>
        </is>
      </c>
      <c r="F155" s="5" t="inlineStr">
        <is>
          <t>frontend/tmp/audit4/document-maker__9340d5be-074b-428a-bb7a-9bc61a2dce2e.png</t>
        </is>
      </c>
      <c r="G155" s="5" t="inlineStr">
        <is>
          <t>Crop [320,40,1000,900]. Blur nama org [300,22,200,26]; buang sidebar (x&lt;200) + blur nama org di kop dokumen. Sorot judul dokumen &amp; tombol PDF/DOCX</t>
        </is>
      </c>
      <c r="H155" s="5" t="inlineStr">
        <is>
          <t>Draf dokumen siap unduh</t>
        </is>
      </c>
      <c r="I155" s="5" t="inlineStr">
        <is>
          <t>Perlu dokumen baru? Document Maker menyusun draf yang rapi, siap diunduh PDF atau DOCX.</t>
        </is>
      </c>
      <c r="J155" s="5" t="inlineStr">
        <is>
          <t>shimmer</t>
        </is>
      </c>
    </row>
    <row r="156" ht="58" customHeight="1">
      <c r="A156" s="28" t="inlineStr">
        <is>
          <t>M17</t>
        </is>
      </c>
      <c r="B156" s="28" t="n">
        <v>6</v>
      </c>
      <c r="C156" s="28" t="inlineStr">
        <is>
          <t>00:46–00:55</t>
        </is>
      </c>
      <c r="D156" s="37" t="inlineStr">
        <is>
          <t>CTA</t>
        </is>
      </c>
      <c r="E156" s="38" t="inlineStr">
        <is>
          <t>Logo</t>
        </is>
      </c>
      <c r="F156" s="38" t="inlineStr">
        <is>
          <t>—</t>
        </is>
      </c>
      <c r="G156" s="38" t="inlineStr">
        <is>
          <t>—</t>
        </is>
      </c>
      <c r="H156" s="38" t="inlineStr">
        <is>
          <t>Baca kontrak dengan kacamata PDP.</t>
        </is>
      </c>
      <c r="I156" s="38" t="inlineStr">
        <is>
          <t>Baca kontrakmu dengan kacamata PDP. Privasimu Nexus.</t>
        </is>
      </c>
      <c r="J156" s="38" t="inlineStr">
        <is>
          <t>sonic logo</t>
        </is>
      </c>
    </row>
    <row r="158" ht="36" customHeight="1">
      <c r="A158" s="43" t="inlineStr">
        <is>
          <t>M18 · Document Import (AI) · "Jangan ketik ulang 200 dokumen" · 40 dtk · Hook (Reverse psychology): Silakan ketik ulang 200 dokumen RoPA-mu satu per satu… atau jangan.</t>
        </is>
      </c>
    </row>
    <row r="159" ht="58" customHeight="1">
      <c r="A159" s="29" t="inlineStr">
        <is>
          <t>M18</t>
        </is>
      </c>
      <c r="B159" s="29" t="n">
        <v>1</v>
      </c>
      <c r="C159" s="29" t="inlineStr">
        <is>
          <t>00:00–00:04</t>
        </is>
      </c>
      <c r="D159" s="31" t="inlineStr">
        <is>
          <t>Hook</t>
        </is>
      </c>
      <c r="E159" s="30" t="inlineStr">
        <is>
          <t>Suara ketikan tanpa henti, jam berputar cepat</t>
        </is>
      </c>
      <c r="F159" s="30" t="inlineStr">
        <is>
          <t>—</t>
        </is>
      </c>
      <c r="G159" s="30" t="inlineStr">
        <is>
          <t>—</t>
        </is>
      </c>
      <c r="H159" s="30" t="inlineStr">
        <is>
          <t>Ketik ulang 200 dokumen?</t>
        </is>
      </c>
      <c r="I159" s="30" t="inlineStr">
        <is>
          <t>Silakan ketik ulang dua ratus dokumen RoPA-mu satu per satu…</t>
        </is>
      </c>
      <c r="J159" s="30" t="inlineStr">
        <is>
          <t>key ×n</t>
        </is>
      </c>
    </row>
    <row r="160" ht="58" customHeight="1">
      <c r="A160" s="29" t="inlineStr">
        <is>
          <t>M18</t>
        </is>
      </c>
      <c r="B160" s="29" t="n">
        <v>2</v>
      </c>
      <c r="C160" s="29" t="inlineStr">
        <is>
          <t>00:04–00:08</t>
        </is>
      </c>
      <c r="D160" s="31" t="inlineStr">
        <is>
          <t>Twist</t>
        </is>
      </c>
      <c r="E160" s="30" t="inlineStr">
        <is>
          <t>Ketikan berhenti mendadak</t>
        </is>
      </c>
      <c r="F160" s="30" t="inlineStr">
        <is>
          <t>—</t>
        </is>
      </c>
      <c r="G160" s="30" t="inlineStr">
        <is>
          <t>—</t>
        </is>
      </c>
      <c r="H160" s="30" t="inlineStr">
        <is>
          <t>…atau jangan.</t>
        </is>
      </c>
      <c r="I160" s="30" t="inlineStr">
        <is>
          <t>…atau jangan.</t>
        </is>
      </c>
      <c r="J160" s="30" t="inlineStr">
        <is>
          <t>record scratch</t>
        </is>
      </c>
    </row>
    <row r="161" ht="58" customHeight="1">
      <c r="A161" s="9" t="inlineStr">
        <is>
          <t>M18</t>
        </is>
      </c>
      <c r="B161" s="9" t="n">
        <v>3</v>
      </c>
      <c r="C161" s="9" t="inlineStr">
        <is>
          <t>00:08–00:22</t>
        </is>
      </c>
      <c r="D161" s="11" t="inlineStr">
        <is>
          <t>Solusi</t>
        </is>
      </c>
      <c r="E161" s="5" t="inlineStr">
        <is>
          <t>Halaman Document Intelligence</t>
        </is>
      </c>
      <c r="F161" s="5" t="inlineStr">
        <is>
          <t>dataroom/03-tenant/document-import/01-overview.png</t>
        </is>
      </c>
      <c r="G161" s="5" t="inlineStr">
        <is>
          <t>Crop [262,40,1002,420]. Blur blok user sidebar [0,470,262,140] atau crop mulai x=262. Sorot subjudul &amp; area unggah</t>
        </is>
      </c>
      <c r="H161" s="5" t="inlineStr">
        <is>
          <t>Unggah → AI baca → masuk database</t>
        </is>
      </c>
      <c r="I161" s="5" t="inlineStr">
        <is>
          <t>Document Import membaca dokumen RoPA dan DPIA-mu dengan AI, lalu memetakannya otomatis ke database.</t>
        </is>
      </c>
      <c r="J161" s="5" t="inlineStr">
        <is>
          <t>whoosh</t>
        </is>
      </c>
    </row>
    <row r="162" ht="58" customHeight="1">
      <c r="A162" s="9" t="inlineStr">
        <is>
          <t>M18</t>
        </is>
      </c>
      <c r="B162" s="9" t="n">
        <v>4</v>
      </c>
      <c r="C162" s="9" t="inlineStr">
        <is>
          <t>00:22–00:32</t>
        </is>
      </c>
      <c r="D162" s="11" t="inlineStr">
        <is>
          <t>Bukti</t>
        </is>
      </c>
      <c r="E162" s="5" t="inlineStr">
        <is>
          <t>Ikon format file</t>
        </is>
      </c>
      <c r="F162" s="5" t="inlineStr">
        <is>
          <t>—</t>
        </is>
      </c>
      <c r="G162" s="5" t="inlineStr">
        <is>
          <t>—</t>
        </is>
      </c>
      <c r="H162" s="5" t="inlineStr">
        <is>
          <t>docx · xlsx · csv · pdf · banyak file sekaligus</t>
        </is>
      </c>
      <c r="I162" s="5" t="inlineStr">
        <is>
          <t>Word, Excel, CSV, PDF, banyak file sekaligus.</t>
        </is>
      </c>
      <c r="J162" s="5" t="inlineStr">
        <is>
          <t>pop ×4</t>
        </is>
      </c>
    </row>
    <row r="163" ht="58" customHeight="1">
      <c r="A163" s="28" t="inlineStr">
        <is>
          <t>M18</t>
        </is>
      </c>
      <c r="B163" s="28" t="n">
        <v>5</v>
      </c>
      <c r="C163" s="28" t="inlineStr">
        <is>
          <t>00:32–00:40</t>
        </is>
      </c>
      <c r="D163" s="37" t="inlineStr">
        <is>
          <t>CTA</t>
        </is>
      </c>
      <c r="E163" s="38" t="inlineStr">
        <is>
          <t>Logo</t>
        </is>
      </c>
      <c r="F163" s="38" t="inlineStr">
        <is>
          <t>—</t>
        </is>
      </c>
      <c r="G163" s="38" t="inlineStr">
        <is>
          <t>—</t>
        </is>
      </c>
      <c r="H163" s="38" t="inlineStr">
        <is>
          <t>Pindah tanpa mulai dari nol.</t>
        </is>
      </c>
      <c r="I163" s="38" t="inlineStr">
        <is>
          <t>Pindah ke Nexus tanpa mulai dari nol.</t>
        </is>
      </c>
      <c r="J163" s="38" t="inlineStr">
        <is>
          <t>sonic logo</t>
        </is>
      </c>
    </row>
    <row r="165" ht="36" customHeight="1">
      <c r="A165" s="43" t="inlineStr">
        <is>
          <t>M19 · Priva: Asisten AI DPO &amp; Knowledge Base · "AI yang tidak mengarang pasal" · 50 dtk · Hook (Logika dipatahkan): AI paling berguna untuk DPO bukan yang paling kreatif… tapi yang tidak mengarang pasal.</t>
        </is>
      </c>
    </row>
    <row r="166" ht="58" customHeight="1">
      <c r="A166" s="29" t="inlineStr">
        <is>
          <t>M19</t>
        </is>
      </c>
      <c r="B166" s="29" t="n">
        <v>1</v>
      </c>
      <c r="C166" s="29" t="inlineStr">
        <is>
          <t>00:00–00:04</t>
        </is>
      </c>
      <c r="D166" s="31" t="inlineStr">
        <is>
          <t>Hook</t>
        </is>
      </c>
      <c r="E166" s="30" t="inlineStr">
        <is>
          <t>Teks "kreatif" dicoret, diganti "akurat"</t>
        </is>
      </c>
      <c r="F166" s="30" t="inlineStr">
        <is>
          <t>—</t>
        </is>
      </c>
      <c r="G166" s="30" t="inlineStr">
        <is>
          <t>—</t>
        </is>
      </c>
      <c r="H166" s="30" t="inlineStr">
        <is>
          <t>Bukan paling kreatif. Paling akurat.</t>
        </is>
      </c>
      <c r="I166" s="30" t="inlineStr">
        <is>
          <t>AI paling berguna untuk DPO bukan yang paling kreatif…</t>
        </is>
      </c>
      <c r="J166" s="30" t="inlineStr">
        <is>
          <t>record scratch</t>
        </is>
      </c>
    </row>
    <row r="167" ht="58" customHeight="1">
      <c r="A167" s="9" t="inlineStr">
        <is>
          <t>M19</t>
        </is>
      </c>
      <c r="B167" s="9" t="n">
        <v>2</v>
      </c>
      <c r="C167" s="9" t="inlineStr">
        <is>
          <t>00:04–00:10</t>
        </is>
      </c>
      <c r="D167" s="11" t="inlineStr">
        <is>
          <t>Masalah</t>
        </is>
      </c>
      <c r="E167" s="5" t="inlineStr">
        <is>
          <t>Chat AI umum mengutip "Pasal 99 UU PDP" → ❌</t>
        </is>
      </c>
      <c r="F167" s="5" t="inlineStr">
        <is>
          <t>—</t>
        </is>
      </c>
      <c r="G167" s="5" t="inlineStr">
        <is>
          <t>—</t>
        </is>
      </c>
      <c r="H167" s="5" t="inlineStr">
        <is>
          <t>UU PDP hanya 76 pasal</t>
        </is>
      </c>
      <c r="I167" s="5" t="inlineStr">
        <is>
          <t>…tapi yang tidak mengarang pasal. UU PDP cuma punya tujuh puluh enam pasal.</t>
        </is>
      </c>
      <c r="J167" s="5" t="inlineStr">
        <is>
          <t>buzzer</t>
        </is>
      </c>
    </row>
    <row r="168" ht="58" customHeight="1">
      <c r="A168" s="9" t="inlineStr">
        <is>
          <t>M19</t>
        </is>
      </c>
      <c r="B168" s="9" t="n">
        <v>3</v>
      </c>
      <c r="C168" s="9" t="inlineStr">
        <is>
          <t>00:10–00:20</t>
        </is>
      </c>
      <c r="D168" s="11" t="inlineStr">
        <is>
          <t>Solusi</t>
        </is>
      </c>
      <c r="E168" s="5" t="inlineStr">
        <is>
          <t>Beranda Priva</t>
        </is>
      </c>
      <c r="F168" s="5" t="inlineStr">
        <is>
          <t>motion/assets/app/ai-agent-home.png</t>
        </is>
      </c>
      <c r="G168" s="5" t="inlineStr">
        <is>
          <t>Siap pakai. Sorot chip modul + saran pertanyaan</t>
        </is>
      </c>
      <c r="H168" s="5" t="inlineStr">
        <is>
          <t>Priva, asisten AI Nexus</t>
        </is>
      </c>
      <c r="I168" s="5" t="inlineStr">
        <is>
          <t>Priva, asisten AI di Nexus, menjawab berdasarkan knowledge base platform.</t>
        </is>
      </c>
      <c r="J168" s="5" t="inlineStr">
        <is>
          <t>shimmer</t>
        </is>
      </c>
    </row>
    <row r="169" ht="58" customHeight="1">
      <c r="A169" s="9" t="inlineStr">
        <is>
          <t>M19</t>
        </is>
      </c>
      <c r="B169" s="9" t="n">
        <v>4</v>
      </c>
      <c r="C169" s="9" t="inlineStr">
        <is>
          <t>00:20–00:30</t>
        </is>
      </c>
      <c r="D169" s="11" t="inlineStr">
        <is>
          <t>Bukti</t>
        </is>
      </c>
      <c r="E169" s="5" t="inlineStr">
        <is>
          <t>Jawaban Priva</t>
        </is>
      </c>
      <c r="F169" s="5" t="inlineStr">
        <is>
          <t>motion/assets/app/ai-agent-chat.png</t>
        </is>
      </c>
      <c r="G169" s="5" t="inlineStr">
        <is>
          <t>Siap pakai. Sorot jawaban rekomendasi RoPA/DPIA</t>
        </is>
      </c>
      <c r="H169" s="5" t="inlineStr">
        <is>
          <t>Jawaban terhubung ke modul</t>
        </is>
      </c>
      <c r="I169" s="5" t="inlineStr">
        <is>
          <t>Tanya soal RoPA, DPIA, atau langkah berikutnya, dan jawabannya terhubung ke modul.</t>
        </is>
      </c>
      <c r="J169" s="5" t="inlineStr">
        <is>
          <t>pop</t>
        </is>
      </c>
    </row>
    <row r="170" ht="58" customHeight="1">
      <c r="A170" s="9" t="inlineStr">
        <is>
          <t>M19</t>
        </is>
      </c>
      <c r="B170" s="9" t="n">
        <v>5</v>
      </c>
      <c r="C170" s="9" t="inlineStr">
        <is>
          <t>00:30–00:40</t>
        </is>
      </c>
      <c r="D170" s="11" t="inlineStr">
        <is>
          <t>Bukti</t>
        </is>
      </c>
      <c r="E170" s="5" t="inlineStr">
        <is>
          <t>Daftar knowledge base</t>
        </is>
      </c>
      <c r="F170" s="5" t="inlineStr">
        <is>
          <t>frontend/tmp/audit4/knowledge-base.png</t>
        </is>
      </c>
      <c r="G170" s="5" t="inlineStr">
        <is>
          <t>Crop [200,40,1240,700]. Blur nama org [300,22,200,26]; buang sidebar (x&lt;200). Sorot tombol "Tambah KB Tenant"</t>
        </is>
      </c>
      <c r="H170" s="5" t="inlineStr">
        <is>
          <t>Tambah konteks organisasimu</t>
        </is>
      </c>
      <c r="I170" s="5" t="inlineStr">
        <is>
          <t>Knowledge base-nya bisa ditambah konteks khusus organisasimu.</t>
        </is>
      </c>
      <c r="J170" s="5" t="inlineStr">
        <is>
          <t>ding</t>
        </is>
      </c>
    </row>
    <row r="171" ht="58" customHeight="1">
      <c r="A171" s="9" t="inlineStr">
        <is>
          <t>M19</t>
        </is>
      </c>
      <c r="B171" s="9" t="n">
        <v>6</v>
      </c>
      <c r="C171" s="9" t="inlineStr">
        <is>
          <t>00:40–00:45</t>
        </is>
      </c>
      <c r="D171" s="11" t="inlineStr">
        <is>
          <t>Bukti</t>
        </is>
      </c>
      <c r="E171" s="5" t="inlineStr">
        <is>
          <t>Ikon log audit</t>
        </is>
      </c>
      <c r="F171" s="5" t="inlineStr">
        <is>
          <t>—</t>
        </is>
      </c>
      <c r="G171" s="5" t="inlineStr">
        <is>
          <t>—</t>
        </is>
      </c>
      <c r="H171" s="5" t="inlineStr">
        <is>
          <t>Aksi AI tercatat</t>
        </is>
      </c>
      <c r="I171" s="5" t="inlineStr">
        <is>
          <t>Dan setiap aksi AI tercatat di log audit.</t>
        </is>
      </c>
      <c r="J171" s="5" t="inlineStr">
        <is>
          <t>check</t>
        </is>
      </c>
    </row>
    <row r="172" ht="58" customHeight="1">
      <c r="A172" s="28" t="inlineStr">
        <is>
          <t>M19</t>
        </is>
      </c>
      <c r="B172" s="28" t="n">
        <v>7</v>
      </c>
      <c r="C172" s="28" t="inlineStr">
        <is>
          <t>00:45–00:50</t>
        </is>
      </c>
      <c r="D172" s="37" t="inlineStr">
        <is>
          <t>CTA</t>
        </is>
      </c>
      <c r="E172" s="38" t="inlineStr">
        <is>
          <t>Logo</t>
        </is>
      </c>
      <c r="F172" s="38" t="inlineStr">
        <is>
          <t>—</t>
        </is>
      </c>
      <c r="G172" s="38" t="inlineStr">
        <is>
          <t>—</t>
        </is>
      </c>
      <c r="H172" s="38" t="inlineStr">
        <is>
          <t>Asisten yang paham PDP.</t>
        </is>
      </c>
      <c r="I172" s="38" t="inlineStr">
        <is>
          <t>Asisten yang paham PDP. Privasimu Nexus.</t>
        </is>
      </c>
      <c r="J172" s="38" t="inlineStr">
        <is>
          <t>sonic logo</t>
        </is>
      </c>
    </row>
    <row r="174" ht="36" customHeight="1">
      <c r="A174" s="43" t="inlineStr">
        <is>
          <t>M20 · Dukungan PPDP &amp; Paparan Sanksi · "Siapa DPO di kantor ini?" · 50 dtk · Hook (Relate): "Siapa DPO di kantor ini?" Semua menunjuk… ke orang yang sedang cuti.</t>
        </is>
      </c>
    </row>
    <row r="175" ht="58" customHeight="1">
      <c r="A175" s="29" t="inlineStr">
        <is>
          <t>M20</t>
        </is>
      </c>
      <c r="B175" s="29" t="n">
        <v>1</v>
      </c>
      <c r="C175" s="29" t="inlineStr">
        <is>
          <t>00:00–00:04</t>
        </is>
      </c>
      <c r="D175" s="31" t="inlineStr">
        <is>
          <t>Hook</t>
        </is>
      </c>
      <c r="E175" s="30" t="inlineStr">
        <is>
          <t>Semua jari menunjuk kursi kosong bertanda "cuti"</t>
        </is>
      </c>
      <c r="F175" s="30" t="inlineStr">
        <is>
          <t>—</t>
        </is>
      </c>
      <c r="G175" s="30" t="inlineStr">
        <is>
          <t>—</t>
        </is>
      </c>
      <c r="H175" s="30" t="inlineStr">
        <is>
          <t>Siapa DPO di sini? 👉🪑</t>
        </is>
      </c>
      <c r="I175" s="30" t="inlineStr">
        <is>
          <t>Siapa DPO di kantor ini? Semua menunjuk… ke orang yang lagi cuti.</t>
        </is>
      </c>
      <c r="J175" s="30" t="inlineStr">
        <is>
          <t>vineboom</t>
        </is>
      </c>
    </row>
    <row r="176" ht="58" customHeight="1">
      <c r="A176" s="9" t="inlineStr">
        <is>
          <t>M20</t>
        </is>
      </c>
      <c r="B176" s="9" t="n">
        <v>2</v>
      </c>
      <c r="C176" s="9" t="inlineStr">
        <is>
          <t>00:04–00:14</t>
        </is>
      </c>
      <c r="D176" s="11" t="inlineStr">
        <is>
          <t>Fakta</t>
        </is>
      </c>
      <c r="E176" s="5" t="inlineStr">
        <is>
          <t>Kartu pasal</t>
        </is>
      </c>
      <c r="F176" s="5" t="inlineStr">
        <is>
          <t>—</t>
        </is>
      </c>
      <c r="G176" s="5" t="inlineStr">
        <is>
          <t>—</t>
        </is>
      </c>
      <c r="H176" s="5" t="inlineStr">
        <is>
          <t>UU PDP Ps. 53–54: penunjukan &amp; tugas PPDP</t>
        </is>
      </c>
      <c r="I176" s="5" t="inlineStr">
        <is>
          <t>Dalam kondisi tertentu, UU PDP mewajibkan penunjukan pejabat pelindungan data, lengkap dengan tugasnya.</t>
        </is>
      </c>
      <c r="J176" s="5" t="inlineStr">
        <is>
          <t>paper</t>
        </is>
      </c>
    </row>
    <row r="177" ht="58" customHeight="1">
      <c r="A177" s="35" t="inlineStr">
        <is>
          <t>M20</t>
        </is>
      </c>
      <c r="B177" s="35" t="n">
        <v>3</v>
      </c>
      <c r="C177" s="35" t="inlineStr">
        <is>
          <t>00:14–00:26</t>
        </is>
      </c>
      <c r="D177" s="44" t="inlineStr">
        <is>
          <t>Solusi</t>
        </is>
      </c>
      <c r="E177" s="42" t="inlineStr">
        <is>
          <t>Halaman penunjukan PPDP</t>
        </is>
      </c>
      <c r="F177" s="42" t="inlineStr">
        <is>
          <t>BELUM ADA: ambil screenshot /ppdp (rute di audit4 teralih ke dasbor). Sementara: motion/assets/app/dashboard.png</t>
        </is>
      </c>
      <c r="G177" s="42" t="inlineStr">
        <is>
          <t>Sorot antrean kerja &amp; dasbor</t>
        </is>
      </c>
      <c r="H177" s="42" t="inlineStr">
        <is>
          <t>Dasbor &amp; antrean kerja PPDP</t>
        </is>
      </c>
      <c r="I177" s="42" t="inlineStr">
        <is>
          <t>Nexus mendukung kerja harian PPDP: dasbor kepatuhan dan antrean pekerjaan yang menunggu tindakan.</t>
        </is>
      </c>
      <c r="J177" s="42" t="inlineStr">
        <is>
          <t>whoosh</t>
        </is>
      </c>
    </row>
    <row r="178" ht="58" customHeight="1">
      <c r="A178" s="35" t="inlineStr">
        <is>
          <t>M20</t>
        </is>
      </c>
      <c r="B178" s="35" t="n">
        <v>4</v>
      </c>
      <c r="C178" s="35" t="inlineStr">
        <is>
          <t>00:26–00:38</t>
        </is>
      </c>
      <c r="D178" s="44" t="inlineStr">
        <is>
          <t>Bukti</t>
        </is>
      </c>
      <c r="E178" s="42" t="inlineStr">
        <is>
          <t>Paparan sanksi per pasal</t>
        </is>
      </c>
      <c r="F178" s="42" t="inlineStr">
        <is>
          <t>BELUM ADA: ambil screenshot halaman Paparan Sanksi (cek rute; audit4/sanctions.png teralih ke dasbor)</t>
        </is>
      </c>
      <c r="G178" s="42" t="inlineStr">
        <is>
          <t>—</t>
        </is>
      </c>
      <c r="H178" s="42" t="inlineStr">
        <is>
          <t>Pasal bersanksi → modul</t>
        </is>
      </c>
      <c r="I178" s="42" t="inlineStr">
        <is>
          <t>Paparan sanksi memetakan kewajiban yang bersanksi administratif ke modul yang menanganinya.</t>
        </is>
      </c>
      <c r="J178" s="42" t="inlineStr">
        <is>
          <t>dundun</t>
        </is>
      </c>
    </row>
    <row r="179" ht="58" customHeight="1">
      <c r="A179" s="9" t="inlineStr">
        <is>
          <t>M20</t>
        </is>
      </c>
      <c r="B179" s="9" t="n">
        <v>5</v>
      </c>
      <c r="C179" s="9" t="inlineStr">
        <is>
          <t>00:38–00:44</t>
        </is>
      </c>
      <c r="D179" s="11" t="inlineStr">
        <is>
          <t>Fakta</t>
        </is>
      </c>
      <c r="E179" s="5" t="inlineStr">
        <is>
          <t>Angka 2% membesar</t>
        </is>
      </c>
      <c r="F179" s="5" t="inlineStr">
        <is>
          <t>—</t>
        </is>
      </c>
      <c r="G179" s="5" t="inlineStr">
        <is>
          <t>—</t>
        </is>
      </c>
      <c r="H179" s="5" t="inlineStr">
        <is>
          <t>Denda administratif hingga 2% pendapatan tahunan</t>
        </is>
      </c>
      <c r="I179" s="5" t="inlineStr">
        <is>
          <t>Karena sanksinya bisa sampai dua persen pendapatan tahunan.</t>
        </is>
      </c>
      <c r="J179" s="5" t="inlineStr">
        <is>
          <t>impact</t>
        </is>
      </c>
    </row>
    <row r="180" ht="58" customHeight="1">
      <c r="A180" s="28" t="inlineStr">
        <is>
          <t>M20</t>
        </is>
      </c>
      <c r="B180" s="28" t="n">
        <v>6</v>
      </c>
      <c r="C180" s="28" t="inlineStr">
        <is>
          <t>00:44–00:50</t>
        </is>
      </c>
      <c r="D180" s="37" t="inlineStr">
        <is>
          <t>CTA</t>
        </is>
      </c>
      <c r="E180" s="38" t="inlineStr">
        <is>
          <t>Logo + konsultan</t>
        </is>
      </c>
      <c r="F180" s="38" t="inlineStr">
        <is>
          <t>—</t>
        </is>
      </c>
      <c r="G180" s="38" t="inlineStr">
        <is>
          <t>—</t>
        </is>
      </c>
      <c r="H180" s="38" t="inlineStr">
        <is>
          <t>Tunjuk, dukung, dampingi.</t>
        </is>
      </c>
      <c r="I180" s="38" t="inlineStr">
        <is>
          <t>Tunjuk, dukung, dan dampingi DPO-mu. Konsultasi dengan Privasimu.</t>
        </is>
      </c>
      <c r="J180" s="38" t="inlineStr">
        <is>
          <t>sonic logo</t>
        </is>
      </c>
    </row>
    <row r="182" ht="36" customHeight="1">
      <c r="A182" s="43" t="inlineStr">
        <is>
          <t>M21 · Holding (Asesmen &amp; Dasbor Grup) · "1 grup, 12 definisi "patuh"" · 50 dtk · Hook (Anomali): 1 grup usaha. 12 anak perusahaan. 12 definisi "patuh".</t>
        </is>
      </c>
    </row>
    <row r="183" ht="58" customHeight="1">
      <c r="A183" s="29" t="inlineStr">
        <is>
          <t>M21</t>
        </is>
      </c>
      <c r="B183" s="29" t="n">
        <v>1</v>
      </c>
      <c r="C183" s="29" t="inlineStr">
        <is>
          <t>00:00–00:04</t>
        </is>
      </c>
      <c r="D183" s="31" t="inlineStr">
        <is>
          <t>Hook</t>
        </is>
      </c>
      <c r="E183" s="30" t="inlineStr">
        <is>
          <t>12 kotak dengan checklist berbeda-beda</t>
        </is>
      </c>
      <c r="F183" s="30" t="inlineStr">
        <is>
          <t>—</t>
        </is>
      </c>
      <c r="G183" s="30" t="inlineStr">
        <is>
          <t>—</t>
        </is>
      </c>
      <c r="H183" s="30" t="inlineStr">
        <is>
          <t>12 anak usaha = 12 versi "patuh"</t>
        </is>
      </c>
      <c r="I183" s="30" t="inlineStr">
        <is>
          <t>Satu grup usaha. Dua belas anak perusahaan. Dua belas definisi patuh.</t>
        </is>
      </c>
      <c r="J183" s="30" t="inlineStr">
        <is>
          <t>pop ×12</t>
        </is>
      </c>
    </row>
    <row r="184" ht="58" customHeight="1">
      <c r="A184" s="9" t="inlineStr">
        <is>
          <t>M21</t>
        </is>
      </c>
      <c r="B184" s="9" t="n">
        <v>2</v>
      </c>
      <c r="C184" s="9" t="inlineStr">
        <is>
          <t>00:04–00:10</t>
        </is>
      </c>
      <c r="D184" s="11" t="inlineStr">
        <is>
          <t>Masalah</t>
        </is>
      </c>
      <c r="E184" s="5" t="inlineStr">
        <is>
          <t>Kotak-kotak saling menunjuk</t>
        </is>
      </c>
      <c r="F184" s="5" t="inlineStr">
        <is>
          <t>—</t>
        </is>
      </c>
      <c r="G184" s="5" t="inlineStr">
        <is>
          <t>—</t>
        </is>
      </c>
      <c r="H184" s="5" t="inlineStr">
        <is>
          <t>Mana siap, mana tertinggal?</t>
        </is>
      </c>
      <c r="I184" s="5" t="inlineStr">
        <is>
          <t>Mana yang paling siap, mana yang tertinggal?</t>
        </is>
      </c>
      <c r="J184" s="5" t="inlineStr">
        <is>
          <t>crickets</t>
        </is>
      </c>
    </row>
    <row r="185" ht="58" customHeight="1">
      <c r="A185" s="9" t="inlineStr">
        <is>
          <t>M21</t>
        </is>
      </c>
      <c r="B185" s="9" t="n">
        <v>3</v>
      </c>
      <c r="C185" s="9" t="inlineStr">
        <is>
          <t>00:10–00:22</t>
        </is>
      </c>
      <c r="D185" s="11" t="inlineStr">
        <is>
          <t>Solusi</t>
        </is>
      </c>
      <c r="E185" s="5" t="inlineStr">
        <is>
          <t>Kartu KPI dasbor grup</t>
        </is>
      </c>
      <c r="F185" s="5" t="inlineStr">
        <is>
          <t>dataroom/03-tenant/holding-dashboard/01-overview.png</t>
        </is>
      </c>
      <c r="G185" s="5" t="inlineStr">
        <is>
          <t>Crop HANYA kartu KPI [262,40,1002,300]. JANGAN tampilkan daftar entitas. Blur blok user sidebar [0,470,262,140] atau crop mulai x=262. Sorot 4 entitas · 33 RoPA · 19 DPIA</t>
        </is>
      </c>
      <c r="H185" s="5" t="inlineStr">
        <is>
          <t>Satu dasbor untuk seluruh grup</t>
        </is>
      </c>
      <c r="I185" s="5" t="inlineStr">
        <is>
          <t>Holding Dashboard memantau kepatuhan seluruh anak usaha dari satu tempat.</t>
        </is>
      </c>
      <c r="J185" s="5" t="inlineStr">
        <is>
          <t>whoosh</t>
        </is>
      </c>
    </row>
    <row r="186" ht="58" customHeight="1">
      <c r="A186" s="35" t="inlineStr">
        <is>
          <t>M21</t>
        </is>
      </c>
      <c r="B186" s="35" t="n">
        <v>4</v>
      </c>
      <c r="C186" s="35" t="inlineStr">
        <is>
          <t>00:22–00:32</t>
        </is>
      </c>
      <c r="D186" s="44" t="inlineStr">
        <is>
          <t>Bukti</t>
        </is>
      </c>
      <c r="E186" s="42" t="inlineStr">
        <is>
          <t>Skor per entitas, matriks &amp; pohon</t>
        </is>
      </c>
      <c r="F186" s="42" t="inlineStr">
        <is>
          <t>BELUM ADA: ambil screenshot baru dengan nama entitas FIKTIF. JANGAN pakai dataroom/02-superadmin/holding-dashboard/* (berisi nama perusahaan nyata)</t>
        </is>
      </c>
      <c r="G186" s="42" t="inlineStr">
        <is>
          <t>—</t>
        </is>
      </c>
      <c r="H186" s="42" t="inlineStr">
        <is>
          <t>Ringkasan · matriks · pohon</t>
        </is>
      </c>
      <c r="I186" s="42" t="inlineStr">
        <is>
          <t>Skor kepatuhan per entitas, dalam tampilan ringkasan, matriks, dan pohon organisasi.</t>
        </is>
      </c>
      <c r="J186" s="42" t="inlineStr">
        <is>
          <t>pop</t>
        </is>
      </c>
    </row>
    <row r="187" ht="58" customHeight="1">
      <c r="A187" s="9" t="inlineStr">
        <is>
          <t>M21</t>
        </is>
      </c>
      <c r="B187" s="9" t="n">
        <v>5</v>
      </c>
      <c r="C187" s="9" t="inlineStr">
        <is>
          <t>00:32–00:40</t>
        </is>
      </c>
      <c r="D187" s="11" t="inlineStr">
        <is>
          <t>Bukti</t>
        </is>
      </c>
      <c r="E187" s="5" t="inlineStr">
        <is>
          <t>Ikon tautan dikirim ke anak usaha</t>
        </is>
      </c>
      <c r="F187" s="5" t="inlineStr">
        <is>
          <t>—</t>
        </is>
      </c>
      <c r="G187" s="5" t="inlineStr">
        <is>
          <t>—</t>
        </is>
      </c>
      <c r="H187" s="5" t="inlineStr">
        <is>
          <t>Asesmen lewat tautan</t>
        </is>
      </c>
      <c r="I187" s="5" t="inlineStr">
        <is>
          <t>Asesmen ke anak usaha dikirim lewat tautan, hasilnya kembali ke induk.</t>
        </is>
      </c>
      <c r="J187" s="5" t="inlineStr">
        <is>
          <t>check</t>
        </is>
      </c>
    </row>
    <row r="188" ht="58" customHeight="1">
      <c r="A188" s="28" t="inlineStr">
        <is>
          <t>M21</t>
        </is>
      </c>
      <c r="B188" s="28" t="n">
        <v>6</v>
      </c>
      <c r="C188" s="28" t="inlineStr">
        <is>
          <t>00:40–00:50</t>
        </is>
      </c>
      <c r="D188" s="37" t="inlineStr">
        <is>
          <t>CTA</t>
        </is>
      </c>
      <c r="E188" s="38" t="inlineStr">
        <is>
          <t>12 kotak menyatu jadi satu</t>
        </is>
      </c>
      <c r="F188" s="38" t="inlineStr">
        <is>
          <t>—</t>
        </is>
      </c>
      <c r="G188" s="38" t="inlineStr">
        <is>
          <t>—</t>
        </is>
      </c>
      <c r="H188" s="38" t="inlineStr">
        <is>
          <t>Satu grup, satu standar.</t>
        </is>
      </c>
      <c r="I188" s="38" t="inlineStr">
        <is>
          <t>Satu grup, satu standar. Konsultasi enterprise dengan Privasimu.</t>
        </is>
      </c>
      <c r="J188" s="38" t="inlineStr">
        <is>
          <t>sonic logo</t>
        </is>
      </c>
    </row>
    <row r="190" ht="36" customHeight="1">
      <c r="A190" s="43" t="inlineStr">
        <is>
          <t>M22 · DPO Academy (LMS) · "Jangan ambil kelas ini kalau…" · 45 dtk · Hook (Reverse psychology): Jangan ambil kelas ini… kalau kamu sudah hafal 76 pasal UU PDP.</t>
        </is>
      </c>
    </row>
    <row r="191" ht="58" customHeight="1">
      <c r="A191" s="29" t="inlineStr">
        <is>
          <t>M22</t>
        </is>
      </c>
      <c r="B191" s="29" t="n">
        <v>1</v>
      </c>
      <c r="C191" s="29" t="inlineStr">
        <is>
          <t>00:00–00:04</t>
        </is>
      </c>
      <c r="D191" s="31" t="inlineStr">
        <is>
          <t>Hook</t>
        </is>
      </c>
      <c r="E191" s="30" t="inlineStr">
        <is>
          <t>Pintu kelas dengan tulisan "Khusus yang belum hafal 76 pasal"</t>
        </is>
      </c>
      <c r="F191" s="30" t="inlineStr">
        <is>
          <t>—</t>
        </is>
      </c>
      <c r="G191" s="30" t="inlineStr">
        <is>
          <t>—</t>
        </is>
      </c>
      <c r="H191" s="30" t="inlineStr">
        <is>
          <t>Sudah hafal 76 pasal? Jangan masuk.</t>
        </is>
      </c>
      <c r="I191" s="30" t="inlineStr">
        <is>
          <t>Jangan ambil kelas ini… kalau kamu sudah hafal tujuh puluh enam pasal UU PDP.</t>
        </is>
      </c>
      <c r="J191" s="30" t="inlineStr">
        <is>
          <t>record scratch</t>
        </is>
      </c>
    </row>
    <row r="192" ht="58" customHeight="1">
      <c r="A192" s="29" t="inlineStr">
        <is>
          <t>M22</t>
        </is>
      </c>
      <c r="B192" s="29" t="n">
        <v>2</v>
      </c>
      <c r="C192" s="29" t="inlineStr">
        <is>
          <t>00:04–00:10</t>
        </is>
      </c>
      <c r="D192" s="31" t="inlineStr">
        <is>
          <t>Twist</t>
        </is>
      </c>
      <c r="E192" s="30" t="inlineStr">
        <is>
          <t>Pintu terbuka lebar</t>
        </is>
      </c>
      <c r="F192" s="30" t="inlineStr">
        <is>
          <t>—</t>
        </is>
      </c>
      <c r="G192" s="30" t="inlineStr">
        <is>
          <t>—</t>
        </is>
      </c>
      <c r="H192" s="30" t="inlineStr">
        <is>
          <t>Belum? Kamu tidak sendirian.</t>
        </is>
      </c>
      <c r="I192" s="30" t="inlineStr">
        <is>
          <t>Belum? Kamu tidak sendirian.</t>
        </is>
      </c>
      <c r="J192" s="30" t="inlineStr">
        <is>
          <t>ding</t>
        </is>
      </c>
    </row>
    <row r="193" ht="58" customHeight="1">
      <c r="A193" s="9" t="inlineStr">
        <is>
          <t>M22</t>
        </is>
      </c>
      <c r="B193" s="9" t="n">
        <v>3</v>
      </c>
      <c r="C193" s="9" t="inlineStr">
        <is>
          <t>00:10–00:22</t>
        </is>
      </c>
      <c r="D193" s="11" t="inlineStr">
        <is>
          <t>Solusi</t>
        </is>
      </c>
      <c r="E193" s="5" t="inlineStr">
        <is>
          <t>Kartu kursus DPO Academy</t>
        </is>
      </c>
      <c r="F193" s="5" t="inlineStr">
        <is>
          <t>motion/assets/app/dpo-academy.png</t>
        </is>
      </c>
      <c r="G193" s="5" t="inlineStr">
        <is>
          <t>Siap pakai. Sorot 4 kursus</t>
        </is>
      </c>
      <c r="H193" s="5" t="inlineStr">
        <is>
          <t>4 jalur belajar</t>
        </is>
      </c>
      <c r="I193" s="5" t="inlineStr">
        <is>
          <t>DPO Academy menyiapkan jalur belajar: kepatuhan UU PDP, manajemen risiko, audit, dan tata kelola data.</t>
        </is>
      </c>
      <c r="J193" s="5" t="inlineStr">
        <is>
          <t>whoosh</t>
        </is>
      </c>
    </row>
    <row r="194" ht="58" customHeight="1">
      <c r="A194" s="9" t="inlineStr">
        <is>
          <t>M22</t>
        </is>
      </c>
      <c r="B194" s="9" t="n">
        <v>4</v>
      </c>
      <c r="C194" s="9" t="inlineStr">
        <is>
          <t>00:22–00:32</t>
        </is>
      </c>
      <c r="D194" s="11" t="inlineStr">
        <is>
          <t>Bukti</t>
        </is>
      </c>
      <c r="E194" s="5" t="inlineStr">
        <is>
          <t>Beranda Academy + sertifikat</t>
        </is>
      </c>
      <c r="F194" s="5" t="inlineStr">
        <is>
          <t>dataroom/03-tenant/learn/01-overview.png</t>
        </is>
      </c>
      <c r="G194" s="5" t="inlineStr">
        <is>
          <t>Crop [0,0,1264,700]. BLUR "Selamat datang, &lt;nama&gt;". Sorot "4 Kursus · 4 Jalur" + kartu sertifikat</t>
        </is>
      </c>
      <c r="H194" s="5" t="inlineStr">
        <is>
          <t>Sampai sertifikat</t>
        </is>
      </c>
      <c r="I194" s="5" t="inlineStr">
        <is>
          <t>Belajar bertahap sampai sertifikat penyelesaian.</t>
        </is>
      </c>
      <c r="J194" s="5" t="inlineStr">
        <is>
          <t>levelup</t>
        </is>
      </c>
    </row>
    <row r="195" ht="58" customHeight="1">
      <c r="A195" s="9" t="inlineStr">
        <is>
          <t>M22</t>
        </is>
      </c>
      <c r="B195" s="9" t="n">
        <v>5</v>
      </c>
      <c r="C195" s="9" t="inlineStr">
        <is>
          <t>00:32–00:38</t>
        </is>
      </c>
      <c r="D195" s="11" t="inlineStr">
        <is>
          <t>Bukti</t>
        </is>
      </c>
      <c r="E195" s="5" t="inlineStr">
        <is>
          <t>Lencana &amp; XP</t>
        </is>
      </c>
      <c r="F195" s="5" t="inlineStr">
        <is>
          <t>frontend/tmp/audit4/learn__badges.png</t>
        </is>
      </c>
      <c r="G195" s="5" t="inlineStr">
        <is>
          <t>Crop [0,40,1440,560]. Blur nama org [300,22,200,26]; buang sidebar (x&lt;200)</t>
        </is>
      </c>
      <c r="H195" s="5" t="inlineStr">
        <is>
          <t>Lencana &amp; progres</t>
        </is>
      </c>
      <c r="I195" s="5" t="inlineStr">
        <is>
          <t>Lengkap dengan lencana dan progres belajar.</t>
        </is>
      </c>
      <c r="J195" s="5" t="inlineStr">
        <is>
          <t>coin</t>
        </is>
      </c>
    </row>
    <row r="196" ht="58" customHeight="1">
      <c r="A196" s="28" t="inlineStr">
        <is>
          <t>M22</t>
        </is>
      </c>
      <c r="B196" s="28" t="n">
        <v>6</v>
      </c>
      <c r="C196" s="28" t="inlineStr">
        <is>
          <t>00:38–00:45</t>
        </is>
      </c>
      <c r="D196" s="37" t="inlineStr">
        <is>
          <t>CTA</t>
        </is>
      </c>
      <c r="E196" s="38" t="inlineStr">
        <is>
          <t>Logo + konsultan</t>
        </is>
      </c>
      <c r="F196" s="38" t="inlineStr">
        <is>
          <t>—</t>
        </is>
      </c>
      <c r="G196" s="38" t="inlineStr">
        <is>
          <t>—</t>
        </is>
      </c>
      <c r="H196" s="38" t="inlineStr">
        <is>
          <t>Belajar &amp; didampingi.</t>
        </is>
      </c>
      <c r="I196" s="38" t="inlineStr">
        <is>
          <t>Belajar di Academy, didampingi konsultan Privasimu.</t>
        </is>
      </c>
      <c r="J196" s="38" t="inlineStr">
        <is>
          <t>sonic logo</t>
        </is>
      </c>
    </row>
  </sheetData>
  <mergeCells count="23">
    <mergeCell ref="A5:J5"/>
    <mergeCell ref="A32:J32"/>
    <mergeCell ref="A14:J14"/>
    <mergeCell ref="A141:J141"/>
    <mergeCell ref="A150:J150"/>
    <mergeCell ref="A106:J106"/>
    <mergeCell ref="A53:J53"/>
    <mergeCell ref="A43:J43"/>
    <mergeCell ref="A81:J81"/>
    <mergeCell ref="A96:J96"/>
    <mergeCell ref="A190:J190"/>
    <mergeCell ref="A165:J165"/>
    <mergeCell ref="A114:J114"/>
    <mergeCell ref="A24:J24"/>
    <mergeCell ref="A182:J182"/>
    <mergeCell ref="A60:J60"/>
    <mergeCell ref="A132:J132"/>
    <mergeCell ref="A124:J124"/>
    <mergeCell ref="A174:J174"/>
    <mergeCell ref="A89:J89"/>
    <mergeCell ref="A158:J158"/>
    <mergeCell ref="A2:J2"/>
    <mergeCell ref="A71:J7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16" customWidth="1" min="4" max="4"/>
    <col width="22" customWidth="1" min="5" max="5"/>
    <col width="30" customWidth="1" min="6" max="6"/>
    <col width="40" customWidth="1" min="7" max="7"/>
    <col width="40" customWidth="1" min="8" max="8"/>
    <col width="38" customWidth="1" min="9" max="9"/>
    <col width="16" customWidth="1" min="10" max="10"/>
    <col width="18" customWidth="1" min="11" max="11"/>
    <col width="18" customWidth="1" min="12" max="12"/>
    <col width="12" customWidth="1" min="13" max="13"/>
  </cols>
  <sheetData>
    <row r="1">
      <c r="A1" s="10" t="inlineStr">
        <is>
          <t>Video pendek 5 · 10 · 15 detik (meme &amp; serius)</t>
        </is>
      </c>
    </row>
    <row r="2" ht="46" customHeight="1">
      <c r="A2" s="2" t="inlineStr">
        <is>
          <t>5 detik = bumper (hook + 1 bukti + logo). 10–15 detik = hook + 1–3 bukti + CTA. Kolom Sumber = video panjang yang bisa dipotong (N = video jadi, M = video modul, A = konsep meme).</t>
        </is>
      </c>
    </row>
    <row r="4" ht="34" customHeight="1">
      <c r="A4" s="3" t="inlineStr">
        <is>
          <t>Kode</t>
        </is>
      </c>
      <c r="B4" s="3" t="inlineStr">
        <is>
          <t>Durasi</t>
        </is>
      </c>
      <c r="C4" s="3" t="inlineStr">
        <is>
          <t>Gaya</t>
        </is>
      </c>
      <c r="D4" s="3" t="inlineStr">
        <is>
          <t>Jenis hook</t>
        </is>
      </c>
      <c r="E4" s="3" t="inlineStr">
        <is>
          <t>Judul</t>
        </is>
      </c>
      <c r="F4" s="3" t="inlineStr">
        <is>
          <t>Hook (0–2 dtk)</t>
        </is>
      </c>
      <c r="G4" s="3" t="inlineStr">
        <is>
          <t>Isi per detik</t>
        </is>
      </c>
      <c r="H4" s="3" t="inlineStr">
        <is>
          <t>VO</t>
        </is>
      </c>
      <c r="I4" s="3" t="inlineStr">
        <is>
          <t>Screenshot (path)</t>
        </is>
      </c>
      <c r="J4" s="3" t="inlineStr">
        <is>
          <t>SFX</t>
        </is>
      </c>
      <c r="K4" s="3" t="inlineStr">
        <is>
          <t>CTA</t>
        </is>
      </c>
      <c r="L4" s="3" t="inlineStr">
        <is>
          <t>Platform</t>
        </is>
      </c>
      <c r="M4" s="3" t="inlineStr">
        <is>
          <t>Sumber</t>
        </is>
      </c>
    </row>
    <row r="5" ht="56" customHeight="1">
      <c r="A5" s="19" t="inlineStr">
        <is>
          <t>P01</t>
        </is>
      </c>
      <c r="B5" s="19" t="inlineStr">
        <is>
          <t>5 dtk</t>
        </is>
      </c>
      <c r="C5" s="19" t="inlineStr">
        <is>
          <t>Serius</t>
        </is>
      </c>
      <c r="D5" s="19" t="inlineStr">
        <is>
          <t>Logika dipatahkan</t>
        </is>
      </c>
      <c r="E5" s="21" t="inlineStr">
        <is>
          <t>Patuh bukan perasaan</t>
        </is>
      </c>
      <c r="F5" s="20" t="inlineStr">
        <is>
          <t>"Patuh bukan perasaan."</t>
        </is>
      </c>
      <c r="G5" s="20" t="inlineStr">
        <is>
          <t>0–2: teks hook · 2–4: skor GAP 81% · 4–5: logo + Start Pre Check</t>
        </is>
      </c>
      <c r="H5" s="20" t="inlineStr">
        <is>
          <t>Patuh bukan perasaan. Ukur.</t>
        </is>
      </c>
      <c r="I5" s="20" t="inlineStr">
        <is>
          <t>motion/assets/app/gap-hasil.png</t>
        </is>
      </c>
      <c r="J5" s="20" t="inlineStr">
        <is>
          <t>vine boom</t>
        </is>
      </c>
      <c r="K5" s="20" t="inlineStr">
        <is>
          <t>Start Pre Check</t>
        </is>
      </c>
      <c r="L5" s="20" t="inlineStr">
        <is>
          <t>Bumper YouTube / Stories</t>
        </is>
      </c>
      <c r="M5" s="20" t="inlineStr">
        <is>
          <t>M02</t>
        </is>
      </c>
    </row>
    <row r="6" ht="56" customHeight="1">
      <c r="A6" s="9" t="inlineStr">
        <is>
          <t>P02</t>
        </is>
      </c>
      <c r="B6" s="9" t="inlineStr">
        <is>
          <t>5 dtk</t>
        </is>
      </c>
      <c r="C6" s="9" t="inlineStr">
        <is>
          <t>Meme</t>
        </is>
      </c>
      <c r="D6" s="9" t="inlineStr">
        <is>
          <t>Relate</t>
        </is>
      </c>
      <c r="E6" s="11" t="inlineStr">
        <is>
          <t>Revisi ketiga</t>
        </is>
      </c>
      <c r="F6" s="5" t="inlineStr">
        <is>
          <t>Ikon "RoPA_final_revisi3_FIX.xlsx"</t>
        </is>
      </c>
      <c r="G6" s="5" t="inlineStr">
        <is>
          <t>0–2: file + "FAAAH" · 2–4: RoPA tersimpan di Nexus · 4–5: logo</t>
        </is>
      </c>
      <c r="H6" s="5" t="inlineStr">
        <is>
          <t>Pensiunkan revisi ketiga.</t>
        </is>
      </c>
      <c r="I6" s="5" t="inlineStr">
        <is>
          <t>motion/assets/app/ropa-tersimpan.png</t>
        </is>
      </c>
      <c r="J6" s="5" t="inlineStr">
        <is>
          <t>"FAAAH" (rekam tim)</t>
        </is>
      </c>
      <c r="K6" s="5" t="inlineStr">
        <is>
          <t>privasimu.com</t>
        </is>
      </c>
      <c r="L6" s="5" t="inlineStr">
        <is>
          <t>TikTok / Reels</t>
        </is>
      </c>
      <c r="M6" s="5" t="inlineStr">
        <is>
          <t>M04 · A01</t>
        </is>
      </c>
    </row>
    <row r="7" ht="56" customHeight="1">
      <c r="A7" s="19" t="inlineStr">
        <is>
          <t>P03</t>
        </is>
      </c>
      <c r="B7" s="19" t="inlineStr">
        <is>
          <t>5 dtk</t>
        </is>
      </c>
      <c r="C7" s="19" t="inlineStr">
        <is>
          <t>Serius</t>
        </is>
      </c>
      <c r="D7" s="19" t="inlineStr">
        <is>
          <t>Anomali</t>
        </is>
      </c>
      <c r="E7" s="21" t="inlineStr">
        <is>
          <t>03.00</t>
        </is>
      </c>
      <c r="F7" s="20" t="inlineStr">
        <is>
          <t>"03.00 · dugaan kebocoran"</t>
        </is>
      </c>
      <c r="G7" s="20" t="inlineStr">
        <is>
          <t>0–2: jam 03.00 · 2–4: stepper 5 fase · 4–5: logo</t>
        </is>
      </c>
      <c r="H7" s="20" t="inlineStr">
        <is>
          <t>Jam tiga pagi? Alurnya sudah siap.</t>
        </is>
      </c>
      <c r="I7" s="20" t="inlineStr">
        <is>
          <t>motion/assets/app/breach-detail.png</t>
        </is>
      </c>
      <c r="J7" s="20" t="inlineStr">
        <is>
          <t>alarm → ding</t>
        </is>
      </c>
      <c r="K7" s="20" t="inlineStr">
        <is>
          <t>Schedule Demo</t>
        </is>
      </c>
      <c r="L7" s="20" t="inlineStr">
        <is>
          <t>Bumper</t>
        </is>
      </c>
      <c r="M7" s="20" t="inlineStr">
        <is>
          <t>M11</t>
        </is>
      </c>
    </row>
    <row r="8" ht="56" customHeight="1">
      <c r="A8" s="9" t="inlineStr">
        <is>
          <t>P04</t>
        </is>
      </c>
      <c r="B8" s="9" t="inlineStr">
        <is>
          <t>5 dtk</t>
        </is>
      </c>
      <c r="C8" s="9" t="inlineStr">
        <is>
          <t>Serius</t>
        </is>
      </c>
      <c r="D8" s="9" t="inlineStr">
        <is>
          <t>Anomali</t>
        </is>
      </c>
      <c r="E8" s="11" t="inlineStr">
        <is>
          <t>16.01.2027</t>
        </is>
      </c>
      <c r="F8" s="5" t="inlineStr">
        <is>
          <t>Kalender flip "16.01.2027"</t>
        </is>
      </c>
      <c r="G8" s="5" t="inlineStr">
        <is>
          <t>0–3: kalender + "PP 33 berlaku" · 3–5: "Siap?" + logo</t>
        </is>
      </c>
      <c r="H8" s="5" t="inlineStr">
        <is>
          <t>Enam belas Januari. PP tiga puluh tiga berlaku. Siap?</t>
        </is>
      </c>
      <c r="I8" s="5" t="inlineStr">
        <is>
          <t>—</t>
        </is>
      </c>
      <c r="J8" s="5" t="inlineStr">
        <is>
          <t>flip clock</t>
        </is>
      </c>
      <c r="K8" s="5" t="inlineStr">
        <is>
          <t>Program siap PP 33</t>
        </is>
      </c>
      <c r="L8" s="5" t="inlineStr">
        <is>
          <t>Bumper / Stories</t>
        </is>
      </c>
      <c r="M8" s="5" t="inlineStr">
        <is>
          <t>N01</t>
        </is>
      </c>
    </row>
    <row r="9" ht="56" customHeight="1">
      <c r="A9" s="19" t="inlineStr">
        <is>
          <t>P05</t>
        </is>
      </c>
      <c r="B9" s="19" t="inlineStr">
        <is>
          <t>5 dtk</t>
        </is>
      </c>
      <c r="C9" s="19" t="inlineStr">
        <is>
          <t>Meme</t>
        </is>
      </c>
      <c r="D9" s="19" t="inlineStr">
        <is>
          <t>Relate</t>
        </is>
      </c>
      <c r="E9" s="21" t="inlineStr">
        <is>
          <t>−999 aura</t>
        </is>
      </c>
      <c r="F9" s="20" t="inlineStr">
        <is>
          <t>"−999 aura: kirim KTP lewat grup"</t>
        </is>
      </c>
      <c r="G9" s="20" t="inlineStr">
        <is>
          <t>0–3: −999 aura · 3–5: +1000 aura: Nexus</t>
        </is>
      </c>
      <c r="H9" s="20" t="inlineStr">
        <is>
          <t>—  (teks saja)</t>
        </is>
      </c>
      <c r="I9" s="20" t="inlineStr">
        <is>
          <t>—</t>
        </is>
      </c>
      <c r="J9" s="20" t="inlineStr">
        <is>
          <t>auraDown → auraUp</t>
        </is>
      </c>
      <c r="K9" s="20" t="inlineStr">
        <is>
          <t>privasimu.com</t>
        </is>
      </c>
      <c r="L9" s="20" t="inlineStr">
        <is>
          <t>TikTok / Reels</t>
        </is>
      </c>
      <c r="M9" s="20" t="inlineStr">
        <is>
          <t>A43</t>
        </is>
      </c>
    </row>
    <row r="10" ht="56" customHeight="1">
      <c r="A10" s="9" t="inlineStr">
        <is>
          <t>P06</t>
        </is>
      </c>
      <c r="B10" s="9" t="inlineStr">
        <is>
          <t>5 dtk</t>
        </is>
      </c>
      <c r="C10" s="9" t="inlineStr">
        <is>
          <t>Serius</t>
        </is>
      </c>
      <c r="D10" s="9" t="inlineStr">
        <is>
          <t>Relate</t>
        </is>
      </c>
      <c r="E10" s="11" t="inlineStr">
        <is>
          <t>72 jam</t>
        </is>
      </c>
      <c r="F10" s="5" t="inlineStr">
        <is>
          <t>"72 jam."</t>
        </is>
      </c>
      <c r="G10" s="5" t="inlineStr">
        <is>
          <t>0–2: angka 72 · 2–4: pil "7h tersisa" · 4–5: logo</t>
        </is>
      </c>
      <c r="H10" s="5" t="inlineStr">
        <is>
          <t>Tujuh puluh dua jam. Dihitung otomatis.</t>
        </is>
      </c>
      <c r="I10" s="5" t="inlineStr">
        <is>
          <t>motion/assets/app/dsr-detail.png</t>
        </is>
      </c>
      <c r="J10" s="5" t="inlineStr">
        <is>
          <t>clock</t>
        </is>
      </c>
      <c r="K10" s="5" t="inlineStr">
        <is>
          <t>Schedule Demo</t>
        </is>
      </c>
      <c r="L10" s="5" t="inlineStr">
        <is>
          <t>Bumper</t>
        </is>
      </c>
      <c r="M10" s="5" t="inlineStr">
        <is>
          <t>M07</t>
        </is>
      </c>
    </row>
    <row r="11" ht="56" customHeight="1">
      <c r="A11" s="19" t="inlineStr">
        <is>
          <t>P07</t>
        </is>
      </c>
      <c r="B11" s="19" t="inlineStr">
        <is>
          <t>5 dtk</t>
        </is>
      </c>
      <c r="C11" s="19" t="inlineStr">
        <is>
          <t>Serius</t>
        </is>
      </c>
      <c r="D11" s="19" t="inlineStr">
        <is>
          <t>Logika dipatahkan</t>
        </is>
      </c>
      <c r="E11" s="21" t="inlineStr">
        <is>
          <t>Setuju tanpa bukti</t>
        </is>
      </c>
      <c r="F11" s="20" t="inlineStr">
        <is>
          <t>"Klik setuju tanpa bukti = tidak ada."</t>
        </is>
      </c>
      <c r="G11" s="20" t="inlineStr">
        <is>
          <t>0–2: checkbox · 2–4: integrasi consent · 4–5: logo</t>
        </is>
      </c>
      <c r="H11" s="20" t="inlineStr">
        <is>
          <t>Setuju harus bisa dibuktikan.</t>
        </is>
      </c>
      <c r="I11" s="20" t="inlineStr">
        <is>
          <t>motion/assets/app/consent-detail.png</t>
        </is>
      </c>
      <c r="J11" s="20" t="inlineStr">
        <is>
          <t>klik + buzzer</t>
        </is>
      </c>
      <c r="K11" s="20" t="inlineStr">
        <is>
          <t>Schedule Demo</t>
        </is>
      </c>
      <c r="L11" s="20" t="inlineStr">
        <is>
          <t>Bumper</t>
        </is>
      </c>
      <c r="M11" s="20" t="inlineStr">
        <is>
          <t>M08</t>
        </is>
      </c>
    </row>
    <row r="12" ht="56" customHeight="1">
      <c r="A12" s="9" t="inlineStr">
        <is>
          <t>P08</t>
        </is>
      </c>
      <c r="B12" s="9" t="inlineStr">
        <is>
          <t>5 dtk</t>
        </is>
      </c>
      <c r="C12" s="9" t="inlineStr">
        <is>
          <t>Meme</t>
        </is>
      </c>
      <c r="D12" s="9" t="inlineStr">
        <is>
          <t>Anomali</t>
        </is>
      </c>
      <c r="E12" s="11" t="inlineStr">
        <is>
          <t>Pengguna umur 11</t>
        </is>
      </c>
      <c r="F12" s="5" t="inlineStr">
        <is>
          <t>"Pengguna paling setia: umur 11."</t>
        </is>
      </c>
      <c r="G12" s="5" t="inlineStr">
        <is>
          <t>0–2: avatar anak · 2–4: Children Pro · 4–5: logo</t>
        </is>
      </c>
      <c r="H12" s="5" t="inlineStr">
        <is>
          <t>Butuh izin walinya.</t>
        </is>
      </c>
      <c r="I12" s="5" t="inlineStr">
        <is>
          <t>motion/assets/app/children-pro.png</t>
        </is>
      </c>
      <c r="J12" s="5" t="inlineStr">
        <is>
          <t>pop</t>
        </is>
      </c>
      <c r="K12" s="5" t="inlineStr">
        <is>
          <t>Schedule Demo</t>
        </is>
      </c>
      <c r="L12" s="5" t="inlineStr">
        <is>
          <t>TikTok / Reels</t>
        </is>
      </c>
      <c r="M12" s="5" t="inlineStr">
        <is>
          <t>M09</t>
        </is>
      </c>
    </row>
    <row r="13" ht="56" customHeight="1">
      <c r="A13" s="19" t="inlineStr">
        <is>
          <t>P09</t>
        </is>
      </c>
      <c r="B13" s="19" t="inlineStr">
        <is>
          <t>5 dtk</t>
        </is>
      </c>
      <c r="C13" s="19" t="inlineStr">
        <is>
          <t>Serius</t>
        </is>
      </c>
      <c r="D13" s="19" t="inlineStr">
        <is>
          <t>Logika dipatahkan</t>
        </is>
      </c>
      <c r="E13" s="21" t="inlineStr">
        <is>
          <t>Diteken ≠ aman</t>
        </is>
      </c>
      <c r="F13" s="20" t="inlineStr">
        <is>
          <t>"Kontrak diteken ≠ data aman."</t>
        </is>
      </c>
      <c r="G13" s="20" t="inlineStr">
        <is>
          <t>0–2: tanda tangan · 2–4: ringkasan telaah kontrak · 4–5: logo</t>
        </is>
      </c>
      <c r="H13" s="20" t="inlineStr">
        <is>
          <t>Baca kontrakmu dengan kacamata PDP.</t>
        </is>
      </c>
      <c r="I13" s="20" t="inlineStr">
        <is>
          <t>frontend/tmp/audit4/contract-review.png</t>
        </is>
      </c>
      <c r="J13" s="20" t="inlineStr">
        <is>
          <t>stamp</t>
        </is>
      </c>
      <c r="K13" s="20" t="inlineStr">
        <is>
          <t>Konsultasi</t>
        </is>
      </c>
      <c r="L13" s="20" t="inlineStr">
        <is>
          <t>Bumper LinkedIn</t>
        </is>
      </c>
      <c r="M13" s="20" t="inlineStr">
        <is>
          <t>M17</t>
        </is>
      </c>
    </row>
    <row r="14" ht="56" customHeight="1">
      <c r="A14" s="9" t="inlineStr">
        <is>
          <t>P10</t>
        </is>
      </c>
      <c r="B14" s="9" t="inlineStr">
        <is>
          <t>5 dtk</t>
        </is>
      </c>
      <c r="C14" s="9" t="inlineStr">
        <is>
          <t>Meme</t>
        </is>
      </c>
      <c r="D14" s="9" t="inlineStr">
        <is>
          <t>Logika dipatahkan</t>
        </is>
      </c>
      <c r="E14" s="11" t="inlineStr">
        <is>
          <t>Di cloud 🦗</t>
        </is>
      </c>
      <c r="F14" s="5" t="inlineStr">
        <is>
          <t>"Cloud-nya di negara mana?"</t>
        </is>
      </c>
      <c r="G14" s="5" t="inlineStr">
        <is>
          <t>0–2: chat + jangkrik · 2–4: register transfer · 4–5: logo</t>
        </is>
      </c>
      <c r="H14" s="5" t="inlineStr">
        <is>
          <t>Di cloud bukan jawaban.</t>
        </is>
      </c>
      <c r="I14" s="5" t="inlineStr">
        <is>
          <t>dataroom/03-tenant/cross-border/01-overview.png</t>
        </is>
      </c>
      <c r="J14" s="5" t="inlineStr">
        <is>
          <t>crickets</t>
        </is>
      </c>
      <c r="K14" s="5" t="inlineStr">
        <is>
          <t>Schedule Demo</t>
        </is>
      </c>
      <c r="L14" s="5" t="inlineStr">
        <is>
          <t>TikTok / Reels</t>
        </is>
      </c>
      <c r="M14" s="5" t="inlineStr">
        <is>
          <t>M14</t>
        </is>
      </c>
    </row>
    <row r="15" ht="56" customHeight="1">
      <c r="A15" s="19" t="inlineStr">
        <is>
          <t>P11</t>
        </is>
      </c>
      <c r="B15" s="19" t="inlineStr">
        <is>
          <t>10 dtk</t>
        </is>
      </c>
      <c r="C15" s="19" t="inlineStr">
        <is>
          <t>Meme</t>
        </is>
      </c>
      <c r="D15" s="19" t="inlineStr">
        <is>
          <t>Relate</t>
        </is>
      </c>
      <c r="E15" s="21" t="inlineStr">
        <is>
          <t>Astaga, bercanda</t>
        </is>
      </c>
      <c r="F15" s="20" t="inlineStr">
        <is>
          <t>Chat Pak Bos</t>
        </is>
      </c>
      <c r="G15" s="20" t="inlineStr">
        <is>
          <t>Potongan N11 detik 14–24</t>
        </is>
      </c>
      <c r="H15" s="20" t="inlineStr">
        <is>
          <t>(dari N11)</t>
        </is>
      </c>
      <c r="I15" s="20" t="inlineStr">
        <is>
          <t>out/n11-meme-dpo</t>
        </is>
      </c>
      <c r="J15" s="20" t="inlineStr">
        <is>
          <t>vine boom</t>
        </is>
      </c>
      <c r="K15" s="20" t="inlineStr">
        <is>
          <t>privasimu.com</t>
        </is>
      </c>
      <c r="L15" s="20" t="inlineStr">
        <is>
          <t>TikTok / Reels</t>
        </is>
      </c>
      <c r="M15" s="20" t="inlineStr">
        <is>
          <t>N11 s3–s4</t>
        </is>
      </c>
    </row>
    <row r="16" ht="56" customHeight="1">
      <c r="A16" s="9" t="inlineStr">
        <is>
          <t>P12</t>
        </is>
      </c>
      <c r="B16" s="9" t="inlineStr">
        <is>
          <t>10 dtk</t>
        </is>
      </c>
      <c r="C16" s="9" t="inlineStr">
        <is>
          <t>Meme</t>
        </is>
      </c>
      <c r="D16" s="9" t="inlineStr">
        <is>
          <t>Relate</t>
        </is>
      </c>
      <c r="E16" s="11" t="inlineStr">
        <is>
          <t>Orang have / haven't</t>
        </is>
      </c>
      <c r="F16" s="5" t="inlineStr">
        <is>
          <t>"Ada orang have…"</t>
        </is>
      </c>
      <c r="G16" s="5" t="inlineStr">
        <is>
          <t>Potongan N11 detik 5–14</t>
        </is>
      </c>
      <c r="H16" s="5" t="inlineStr">
        <is>
          <t>(dari N11)</t>
        </is>
      </c>
      <c r="I16" s="5" t="inlineStr">
        <is>
          <t>out/n11-meme-dpo</t>
        </is>
      </c>
      <c r="J16" s="5" t="inlineStr">
        <is>
          <t>vine boom</t>
        </is>
      </c>
      <c r="K16" s="5" t="inlineStr">
        <is>
          <t>privasimu.com</t>
        </is>
      </c>
      <c r="L16" s="5" t="inlineStr">
        <is>
          <t>TikTok / Reels</t>
        </is>
      </c>
      <c r="M16" s="5" t="inlineStr">
        <is>
          <t>N11 s2</t>
        </is>
      </c>
    </row>
    <row r="17" ht="56" customHeight="1">
      <c r="A17" s="19" t="inlineStr">
        <is>
          <t>P13</t>
        </is>
      </c>
      <c r="B17" s="19" t="inlineStr">
        <is>
          <t>10 dtk</t>
        </is>
      </c>
      <c r="C17" s="19" t="inlineStr">
        <is>
          <t>Meme</t>
        </is>
      </c>
      <c r="D17" s="19" t="inlineStr">
        <is>
          <t>Anomali</t>
        </is>
      </c>
      <c r="E17" s="21" t="inlineStr">
        <is>
          <t>Polyester edit</t>
        </is>
      </c>
      <c r="F17" s="20" t="inlineStr">
        <is>
          <t>"Kalau DPO punya polyester edit:"</t>
        </is>
      </c>
      <c r="G17" s="20" t="inlineStr">
        <is>
          <t>Potongan N11 detik 43–50</t>
        </is>
      </c>
      <c r="H17" s="20" t="inlineStr">
        <is>
          <t>(dari N11)</t>
        </is>
      </c>
      <c r="I17" s="20" t="inlineStr">
        <is>
          <t>out/n11-meme-dpo</t>
        </is>
      </c>
      <c r="J17" s="20" t="inlineStr">
        <is>
          <t>funk</t>
        </is>
      </c>
      <c r="K17" s="20" t="inlineStr">
        <is>
          <t>Schedule Demo</t>
        </is>
      </c>
      <c r="L17" s="20" t="inlineStr">
        <is>
          <t>TikTok / Reels</t>
        </is>
      </c>
      <c r="M17" s="20" t="inlineStr">
        <is>
          <t>N11 s7</t>
        </is>
      </c>
    </row>
    <row r="18" ht="56" customHeight="1">
      <c r="A18" s="9" t="inlineStr">
        <is>
          <t>P14</t>
        </is>
      </c>
      <c r="B18" s="9" t="inlineStr">
        <is>
          <t>10 dtk</t>
        </is>
      </c>
      <c r="C18" s="9" t="inlineStr">
        <is>
          <t>Serius</t>
        </is>
      </c>
      <c r="D18" s="9" t="inlineStr">
        <is>
          <t>Anomali</t>
        </is>
      </c>
      <c r="E18" s="11" t="inlineStr">
        <is>
          <t>Pintu orang lain</t>
        </is>
      </c>
      <c r="F18" s="5" t="inlineStr">
        <is>
          <t>"Kebocoran bisa lewat pintu yang bukan milikmu."</t>
        </is>
      </c>
      <c r="G18" s="5" t="inlineStr">
        <is>
          <t>0–3: hook · 3–8: detail pihak ketiga, skor 49 · 8–10: logo</t>
        </is>
      </c>
      <c r="H18" s="5" t="inlineStr">
        <is>
          <t>Kebocoran bisa lewat pintu yang bukan milikmu. Nilai risiko pihak ketigamu.</t>
        </is>
      </c>
      <c r="I18" s="5" t="inlineStr">
        <is>
          <t>dataroom/03-tenant/vendor-risk/07-detail-pihakketiga.png</t>
        </is>
      </c>
      <c r="J18" s="5" t="inlineStr">
        <is>
          <t>dundun</t>
        </is>
      </c>
      <c r="K18" s="5" t="inlineStr">
        <is>
          <t>Schedule Demo</t>
        </is>
      </c>
      <c r="L18" s="5" t="inlineStr">
        <is>
          <t>LinkedIn / Reels</t>
        </is>
      </c>
      <c r="M18" s="5" t="inlineStr">
        <is>
          <t>M13</t>
        </is>
      </c>
    </row>
    <row r="19" ht="56" customHeight="1">
      <c r="A19" s="19" t="inlineStr">
        <is>
          <t>P15</t>
        </is>
      </c>
      <c r="B19" s="19" t="inlineStr">
        <is>
          <t>10 dtk</t>
        </is>
      </c>
      <c r="C19" s="19" t="inlineStr">
        <is>
          <t>Serius</t>
        </is>
      </c>
      <c r="D19" s="19" t="inlineStr">
        <is>
          <t>Logika dipatahkan</t>
        </is>
      </c>
      <c r="E19" s="21" t="inlineStr">
        <is>
          <t>Data yang tak tercatat</t>
        </is>
      </c>
      <c r="F19" s="20" t="inlineStr">
        <is>
          <t>"Data paling berisiko = yang tak kamu tahu ada."</t>
        </is>
      </c>
      <c r="G19" s="20" t="inlineStr">
        <is>
          <t>0–3: hook · 3–8: 187 PII ditemukan · 8–10: logo</t>
        </is>
      </c>
      <c r="H19" s="20" t="inlineStr">
        <is>
          <t>Data paling berisiko adalah yang tidak kamu tahu ada. Temukan dengan Data Discovery.</t>
        </is>
      </c>
      <c r="I19" s="20" t="inlineStr">
        <is>
          <t>dataroom/03-tenant/data-discovery/01-overview.png</t>
        </is>
      </c>
      <c r="J19" s="20" t="inlineStr">
        <is>
          <t>sweep</t>
        </is>
      </c>
      <c r="K19" s="20" t="inlineStr">
        <is>
          <t>Schedule Demo</t>
        </is>
      </c>
      <c r="L19" s="20" t="inlineStr">
        <is>
          <t>LinkedIn / Reels</t>
        </is>
      </c>
      <c r="M19" s="20" t="inlineStr">
        <is>
          <t>M15</t>
        </is>
      </c>
    </row>
    <row r="20" ht="56" customHeight="1">
      <c r="A20" s="9" t="inlineStr">
        <is>
          <t>P16</t>
        </is>
      </c>
      <c r="B20" s="9" t="inlineStr">
        <is>
          <t>10 dtk</t>
        </is>
      </c>
      <c r="C20" s="9" t="inlineStr">
        <is>
          <t>Serius</t>
        </is>
      </c>
      <c r="D20" s="9" t="inlineStr">
        <is>
          <t>Reverse psychology</t>
        </is>
      </c>
      <c r="E20" s="11" t="inlineStr">
        <is>
          <t>Jangan cek skormu</t>
        </is>
      </c>
      <c r="F20" s="5" t="inlineStr">
        <is>
          <t>"Jangan cek skor kepatuhanmu…"</t>
        </is>
      </c>
      <c r="G20" s="5" t="inlineStr">
        <is>
          <t>0–3: hook · 3–8: GAP 81% + rekomendasi · 8–10: Start Pre Check</t>
        </is>
      </c>
      <c r="H20" s="5" t="inlineStr">
        <is>
          <t>Jangan cek skor kepatuhanmu… kalau belum siap kaget. Atau mulai gratis sekarang.</t>
        </is>
      </c>
      <c r="I20" s="5" t="inlineStr">
        <is>
          <t>motion/assets/app/gap-rekomendasi.png</t>
        </is>
      </c>
      <c r="J20" s="5" t="inlineStr">
        <is>
          <t>vine boom</t>
        </is>
      </c>
      <c r="K20" s="5" t="inlineStr">
        <is>
          <t>Start Pre Check</t>
        </is>
      </c>
      <c r="L20" s="5" t="inlineStr">
        <is>
          <t>Reels / Shorts</t>
        </is>
      </c>
      <c r="M20" s="5" t="inlineStr">
        <is>
          <t>M02</t>
        </is>
      </c>
    </row>
    <row r="21" ht="56" customHeight="1">
      <c r="A21" s="19" t="inlineStr">
        <is>
          <t>P17</t>
        </is>
      </c>
      <c r="B21" s="19" t="inlineStr">
        <is>
          <t>10 dtk</t>
        </is>
      </c>
      <c r="C21" s="19" t="inlineStr">
        <is>
          <t>Meme</t>
        </is>
      </c>
      <c r="D21" s="19" t="inlineStr">
        <is>
          <t>Logika dipatahkan</t>
        </is>
      </c>
      <c r="E21" s="21" t="inlineStr">
        <is>
          <t>Latihan kebocoran? 🦗</t>
        </is>
      </c>
      <c r="F21" s="20" t="inlineStr">
        <is>
          <t>"Latihan kebakaran ✅ · latihan kebocoran data 🦗"</t>
        </is>
      </c>
      <c r="G21" s="20" t="inlineStr">
        <is>
          <t>0–3: hook · 3–8: Fire Drill · 8–10: logo</t>
        </is>
      </c>
      <c r="H21" s="20" t="inlineStr">
        <is>
          <t>Kantor rutin latihan kebakaran. Latihan kebocoran data? Ada Fire Drill.</t>
        </is>
      </c>
      <c r="I21" s="20" t="inlineStr">
        <is>
          <t>dataroom/03-tenant/simulation/02-recheck.png</t>
        </is>
      </c>
      <c r="J21" s="20" t="inlineStr">
        <is>
          <t>alarm + crickets</t>
        </is>
      </c>
      <c r="K21" s="20" t="inlineStr">
        <is>
          <t>Konsultasi</t>
        </is>
      </c>
      <c r="L21" s="20" t="inlineStr">
        <is>
          <t>TikTok / Reels</t>
        </is>
      </c>
      <c r="M21" s="20" t="inlineStr">
        <is>
          <t>M12</t>
        </is>
      </c>
    </row>
    <row r="22" ht="56" customHeight="1">
      <c r="A22" s="9" t="inlineStr">
        <is>
          <t>P18</t>
        </is>
      </c>
      <c r="B22" s="9" t="inlineStr">
        <is>
          <t>10 dtk</t>
        </is>
      </c>
      <c r="C22" s="9" t="inlineStr">
        <is>
          <t>Serius</t>
        </is>
      </c>
      <c r="D22" s="9" t="inlineStr">
        <is>
          <t>Logika dipatahkan</t>
        </is>
      </c>
      <c r="E22" s="11" t="inlineStr">
        <is>
          <t>AI yang tidak mengarang</t>
        </is>
      </c>
      <c r="F22" s="5" t="inlineStr">
        <is>
          <t>"AI terbaik untuk DPO bukan yang paling kreatif."</t>
        </is>
      </c>
      <c r="G22" s="5" t="inlineStr">
        <is>
          <t>0–3: hook · 3–8: jawaban Priva · 8–10: logo</t>
        </is>
      </c>
      <c r="H22" s="5" t="inlineStr">
        <is>
          <t>AI terbaik untuk DPO bukan yang paling kreatif, tapi yang tidak mengarang pasal.</t>
        </is>
      </c>
      <c r="I22" s="5" t="inlineStr">
        <is>
          <t>motion/assets/app/ai-agent-chat.png</t>
        </is>
      </c>
      <c r="J22" s="5" t="inlineStr">
        <is>
          <t>record scratch</t>
        </is>
      </c>
      <c r="K22" s="5" t="inlineStr">
        <is>
          <t>Schedule Demo</t>
        </is>
      </c>
      <c r="L22" s="5" t="inlineStr">
        <is>
          <t>LinkedIn</t>
        </is>
      </c>
      <c r="M22" s="5" t="inlineStr">
        <is>
          <t>M19</t>
        </is>
      </c>
    </row>
    <row r="23" ht="56" customHeight="1">
      <c r="A23" s="19" t="inlineStr">
        <is>
          <t>P19</t>
        </is>
      </c>
      <c r="B23" s="19" t="inlineStr">
        <is>
          <t>10 dtk</t>
        </is>
      </c>
      <c r="C23" s="19" t="inlineStr">
        <is>
          <t>Meme</t>
        </is>
      </c>
      <c r="D23" s="19" t="inlineStr">
        <is>
          <t>Reverse psychology</t>
        </is>
      </c>
      <c r="E23" s="21" t="inlineStr">
        <is>
          <t>Jangan ketik ulang</t>
        </is>
      </c>
      <c r="F23" s="20" t="inlineStr">
        <is>
          <t>"Silakan ketik ulang 200 dokumen…"</t>
        </is>
      </c>
      <c r="G23" s="20" t="inlineStr">
        <is>
          <t>0–3: ketikan · 3–4: "…atau jangan" · 4–8: Document Import · 8–10: logo</t>
        </is>
      </c>
      <c r="H23" s="20" t="inlineStr">
        <is>
          <t>Silakan ketik ulang dua ratus dokumen… atau jangan.</t>
        </is>
      </c>
      <c r="I23" s="20" t="inlineStr">
        <is>
          <t>dataroom/03-tenant/document-import/01-overview.png</t>
        </is>
      </c>
      <c r="J23" s="20" t="inlineStr">
        <is>
          <t>key → scratch</t>
        </is>
      </c>
      <c r="K23" s="20" t="inlineStr">
        <is>
          <t>Schedule Demo</t>
        </is>
      </c>
      <c r="L23" s="20" t="inlineStr">
        <is>
          <t>TikTok / Reels</t>
        </is>
      </c>
      <c r="M23" s="20" t="inlineStr">
        <is>
          <t>M18</t>
        </is>
      </c>
    </row>
    <row r="24" ht="56" customHeight="1">
      <c r="A24" s="9" t="inlineStr">
        <is>
          <t>P20</t>
        </is>
      </c>
      <c r="B24" s="9" t="inlineStr">
        <is>
          <t>10 dtk</t>
        </is>
      </c>
      <c r="C24" s="9" t="inlineStr">
        <is>
          <t>Meme</t>
        </is>
      </c>
      <c r="D24" s="9" t="inlineStr">
        <is>
          <t>Logika dipatahkan</t>
        </is>
      </c>
      <c r="E24" s="11" t="inlineStr">
        <is>
          <t>Kinda chic</t>
        </is>
      </c>
      <c r="F24" s="5" t="inlineStr">
        <is>
          <t>"Kinda chic to…"</t>
        </is>
      </c>
      <c r="G24" s="5" t="inlineStr">
        <is>
          <t>Potongan N11 detik 50–58</t>
        </is>
      </c>
      <c r="H24" s="5" t="inlineStr">
        <is>
          <t>(dari N11)</t>
        </is>
      </c>
      <c r="I24" s="5" t="inlineStr">
        <is>
          <t>out/n11-meme-dpo</t>
        </is>
      </c>
      <c r="J24" s="5" t="inlineStr">
        <is>
          <t>lo-fi</t>
        </is>
      </c>
      <c r="K24" s="5" t="inlineStr">
        <is>
          <t>privasimu.com</t>
        </is>
      </c>
      <c r="L24" s="5" t="inlineStr">
        <is>
          <t>Instagram / LinkedIn</t>
        </is>
      </c>
      <c r="M24" s="5" t="inlineStr">
        <is>
          <t>N11 s8</t>
        </is>
      </c>
    </row>
    <row r="25" ht="56" customHeight="1">
      <c r="A25" s="19" t="inlineStr">
        <is>
          <t>P21</t>
        </is>
      </c>
      <c r="B25" s="19" t="inlineStr">
        <is>
          <t>15 dtk</t>
        </is>
      </c>
      <c r="C25" s="19" t="inlineStr">
        <is>
          <t>Meme</t>
        </is>
      </c>
      <c r="D25" s="19" t="inlineStr">
        <is>
          <t>Reverse psychology</t>
        </is>
      </c>
      <c r="E25" s="21" t="inlineStr">
        <is>
          <t>Things to say ke auditor</t>
        </is>
      </c>
      <c r="F25" s="20" t="inlineStr">
        <is>
          <t>"Hal yang bisa kamu bilang ke auditor:"</t>
        </is>
      </c>
      <c r="G25" s="20" t="inlineStr">
        <is>
          <t>Potongan N11 detik 24–34</t>
        </is>
      </c>
      <c r="H25" s="20" t="inlineStr">
        <is>
          <t>(dari N11)</t>
        </is>
      </c>
      <c r="I25" s="20" t="inlineStr">
        <is>
          <t>out/n11-meme-dpo</t>
        </is>
      </c>
      <c r="J25" s="20" t="inlineStr">
        <is>
          <t>phonk</t>
        </is>
      </c>
      <c r="K25" s="20" t="inlineStr">
        <is>
          <t>privasimu.com</t>
        </is>
      </c>
      <c r="L25" s="20" t="inlineStr">
        <is>
          <t>TikTok / Reels</t>
        </is>
      </c>
      <c r="M25" s="20" t="inlineStr">
        <is>
          <t>N11 s5</t>
        </is>
      </c>
    </row>
    <row r="26" ht="56" customHeight="1">
      <c r="A26" s="9" t="inlineStr">
        <is>
          <t>P22</t>
        </is>
      </c>
      <c r="B26" s="9" t="inlineStr">
        <is>
          <t>15 dtk</t>
        </is>
      </c>
      <c r="C26" s="9" t="inlineStr">
        <is>
          <t>Meme</t>
        </is>
      </c>
      <c r="D26" s="9" t="inlineStr">
        <is>
          <t>Anomali</t>
        </is>
      </c>
      <c r="E26" s="11" t="inlineStr">
        <is>
          <t>Borgol 3×24 jam</t>
        </is>
      </c>
      <c r="F26" s="5" t="inlineStr">
        <is>
          <t>"Jam 3 pagi: dugaan kebocoran data."</t>
        </is>
      </c>
      <c r="G26" s="5" t="inlineStr">
        <is>
          <t>Potongan N11 detik 34–43</t>
        </is>
      </c>
      <c r="H26" s="5" t="inlineStr">
        <is>
          <t>(dari N11)</t>
        </is>
      </c>
      <c r="I26" s="5" t="inlineStr">
        <is>
          <t>out/n11-meme-dpo</t>
        </is>
      </c>
      <c r="J26" s="5" t="inlineStr">
        <is>
          <t>clank</t>
        </is>
      </c>
      <c r="K26" s="5" t="inlineStr">
        <is>
          <t>Schedule Demo</t>
        </is>
      </c>
      <c r="L26" s="5" t="inlineStr">
        <is>
          <t>TikTok / Reels</t>
        </is>
      </c>
      <c r="M26" s="5" t="inlineStr">
        <is>
          <t>N11 s6</t>
        </is>
      </c>
    </row>
    <row r="27" ht="56" customHeight="1">
      <c r="A27" s="19" t="inlineStr">
        <is>
          <t>P23</t>
        </is>
      </c>
      <c r="B27" s="19" t="inlineStr">
        <is>
          <t>15 dtk</t>
        </is>
      </c>
      <c r="C27" s="19" t="inlineStr">
        <is>
          <t>Serius</t>
        </is>
      </c>
      <c r="D27" s="19" t="inlineStr">
        <is>
          <t>Relate</t>
        </is>
      </c>
      <c r="E27" s="21" t="inlineStr">
        <is>
          <t>Email paling ditakuti CS</t>
        </is>
      </c>
      <c r="F27" s="20" t="inlineStr">
        <is>
          <t>📩 "Tolong hapus semua data saya."</t>
        </is>
      </c>
      <c r="G27" s="20" t="inlineStr">
        <is>
          <t>0–3: email · 3–7: form DSR · 7–11: tenggat 72 jam · 11–13: sertifikat · 13–15: logo</t>
        </is>
      </c>
      <c r="H27" s="20" t="inlineStr">
        <is>
          <t>Email paling ditakuti CS. Di Nexus: formulir, tenggat tujuh puluh dua jam otomatis, sampai sertifikat penyelesaian.</t>
        </is>
      </c>
      <c r="I27" s="20" t="inlineStr">
        <is>
          <t>motion/assets/app/dsr-form.png → motion/assets/app/dsr-detail.png → dataroom/03-tenant/dsr/09-tab-certificates.png</t>
        </is>
      </c>
      <c r="J27" s="20" t="inlineStr">
        <is>
          <t>notif, clock, correct</t>
        </is>
      </c>
      <c r="K27" s="20" t="inlineStr">
        <is>
          <t>Schedule Demo</t>
        </is>
      </c>
      <c r="L27" s="20" t="inlineStr">
        <is>
          <t>Reels / LinkedIn</t>
        </is>
      </c>
      <c r="M27" s="20" t="inlineStr">
        <is>
          <t>M07</t>
        </is>
      </c>
    </row>
    <row r="28" ht="56" customHeight="1">
      <c r="A28" s="9" t="inlineStr">
        <is>
          <t>P24</t>
        </is>
      </c>
      <c r="B28" s="9" t="inlineStr">
        <is>
          <t>15 dtk</t>
        </is>
      </c>
      <c r="C28" s="9" t="inlineStr">
        <is>
          <t>Serius</t>
        </is>
      </c>
      <c r="D28" s="9" t="inlineStr">
        <is>
          <t>Logika dipatahkan</t>
        </is>
      </c>
      <c r="E28" s="11" t="inlineStr">
        <is>
          <t>Kepentingan sah ≠ cek kosong</t>
        </is>
      </c>
      <c r="F28" s="5" t="inlineStr">
        <is>
          <t>"Kan ada kepentingan yang sah." BELUM TENTU.</t>
        </is>
      </c>
      <c r="G28" s="5" t="inlineStr">
        <is>
          <t>0–3: hook · 3–8: kutipan Ps. 20 (2) f · 8–13: modul LIA · 13–15: logo</t>
        </is>
      </c>
      <c r="H28" s="5" t="inlineStr">
        <is>
          <t>Kepentingan yang sah harus ditimbang, bukan diasumsikan. Dokumentasikan dengan LIA.</t>
        </is>
      </c>
      <c r="I28" s="42" t="inlineStr">
        <is>
          <t>frontend/tmp/audit4/lia.png (header) · PERLU SCREENSHOT BARU</t>
        </is>
      </c>
      <c r="J28" s="5" t="inlineStr">
        <is>
          <t>stamp</t>
        </is>
      </c>
      <c r="K28" s="5" t="inlineStr">
        <is>
          <t>Schedule Demo</t>
        </is>
      </c>
      <c r="L28" s="5" t="inlineStr">
        <is>
          <t>LinkedIn</t>
        </is>
      </c>
      <c r="M28" s="5" t="inlineStr">
        <is>
          <t>M06</t>
        </is>
      </c>
    </row>
    <row r="29" ht="56" customHeight="1">
      <c r="A29" s="19" t="inlineStr">
        <is>
          <t>P25</t>
        </is>
      </c>
      <c r="B29" s="19" t="inlineStr">
        <is>
          <t>15 dtk</t>
        </is>
      </c>
      <c r="C29" s="19" t="inlineStr">
        <is>
          <t>Serius</t>
        </is>
      </c>
      <c r="D29" s="19" t="inlineStr">
        <is>
          <t>Anomali</t>
        </is>
      </c>
      <c r="E29" s="21" t="inlineStr">
        <is>
          <t>12 definisi patuh</t>
        </is>
      </c>
      <c r="F29" s="20" t="inlineStr">
        <is>
          <t>"12 anak usaha, 12 definisi patuh."</t>
        </is>
      </c>
      <c r="G29" s="20" t="inlineStr">
        <is>
          <t>0–3: hook · 3–10: KPI dasbor grup · 10–15: logo + konsultasi enterprise</t>
        </is>
      </c>
      <c r="H29" s="20" t="inlineStr">
        <is>
          <t>Satu grup, satu standar kepatuhan. Holding Dashboard Privasimu.</t>
        </is>
      </c>
      <c r="I29" s="20" t="inlineStr">
        <is>
          <t>dataroom/03-tenant/holding-dashboard/01-overview.png (hanya KPI)</t>
        </is>
      </c>
      <c r="J29" s="20" t="inlineStr">
        <is>
          <t>pop</t>
        </is>
      </c>
      <c r="K29" s="20" t="inlineStr">
        <is>
          <t>Konsultasi enterprise</t>
        </is>
      </c>
      <c r="L29" s="20" t="inlineStr">
        <is>
          <t>LinkedIn</t>
        </is>
      </c>
      <c r="M29" s="20" t="inlineStr">
        <is>
          <t>M21</t>
        </is>
      </c>
    </row>
    <row r="30" ht="56" customHeight="1">
      <c r="A30" s="9" t="inlineStr">
        <is>
          <t>P26</t>
        </is>
      </c>
      <c r="B30" s="9" t="inlineStr">
        <is>
          <t>15 dtk</t>
        </is>
      </c>
      <c r="C30" s="9" t="inlineStr">
        <is>
          <t>Serius</t>
        </is>
      </c>
      <c r="D30" s="9" t="inlineStr">
        <is>
          <t>Reverse psychology</t>
        </is>
      </c>
      <c r="E30" s="11" t="inlineStr">
        <is>
          <t>Jangan tunjuk DPO kalau…</t>
        </is>
      </c>
      <c r="F30" s="5" t="inlineStr">
        <is>
          <t>"Jangan tunjuk DPO… kalau tidak siap mendukungnya."</t>
        </is>
      </c>
      <c r="G30" s="5" t="inlineStr">
        <is>
          <t>0–3: hook · 3–8: Academy · 8–12: konsultan · 12–15: logo</t>
        </is>
      </c>
      <c r="H30" s="5" t="inlineStr">
        <is>
          <t>Menunjuk DPO itu awal. Dukung dengan DPO Academy dan pendampingan konsultan Privasimu.</t>
        </is>
      </c>
      <c r="I30" s="5" t="inlineStr">
        <is>
          <t>motion/assets/app/dpo-academy.png</t>
        </is>
      </c>
      <c r="J30" s="5" t="inlineStr">
        <is>
          <t>ding</t>
        </is>
      </c>
      <c r="K30" s="5" t="inlineStr">
        <is>
          <t>Konsultasi</t>
        </is>
      </c>
      <c r="L30" s="5" t="inlineStr">
        <is>
          <t>LinkedIn</t>
        </is>
      </c>
      <c r="M30" s="5" t="inlineStr">
        <is>
          <t>M22 · M20</t>
        </is>
      </c>
    </row>
    <row r="31" ht="56" customHeight="1">
      <c r="A31" s="19" t="inlineStr">
        <is>
          <t>P27</t>
        </is>
      </c>
      <c r="B31" s="19" t="inlineStr">
        <is>
          <t>15 dtk</t>
        </is>
      </c>
      <c r="C31" s="19" t="inlineStr">
        <is>
          <t>Serius</t>
        </is>
      </c>
      <c r="D31" s="19" t="inlineStr">
        <is>
          <t>Logika dipatahkan</t>
        </is>
      </c>
      <c r="E31" s="21" t="inlineStr">
        <is>
          <t>Konsultan yang mendampingi</t>
        </is>
      </c>
      <c r="F31" s="20" t="inlineStr">
        <is>
          <t>"Konsultan terbaik bukan yang laporannya paling tebal."</t>
        </is>
      </c>
      <c r="G31" s="20" t="inlineStr">
        <is>
          <t>0–4: hook · 4–11: pendampingan + tools · 11–15: logo</t>
        </is>
      </c>
      <c r="H31" s="20" t="inlineStr">
        <is>
          <t>Konsultan terbaik bukan yang laporannya paling tebal, tapi yang mendampingi sampai audit.</t>
        </is>
      </c>
      <c r="I31" s="20" t="inlineStr">
        <is>
          <t>—</t>
        </is>
      </c>
      <c r="J31" s="20" t="inlineStr">
        <is>
          <t>record scratch</t>
        </is>
      </c>
      <c r="K31" s="20" t="inlineStr">
        <is>
          <t>Konsultasi</t>
        </is>
      </c>
      <c r="L31" s="20" t="inlineStr">
        <is>
          <t>LinkedIn / YouTube</t>
        </is>
      </c>
      <c r="M31" s="20" t="inlineStr">
        <is>
          <t>N07</t>
        </is>
      </c>
    </row>
    <row r="32" ht="56" customHeight="1">
      <c r="A32" s="9" t="inlineStr">
        <is>
          <t>P28</t>
        </is>
      </c>
      <c r="B32" s="9" t="inlineStr">
        <is>
          <t>15 dtk</t>
        </is>
      </c>
      <c r="C32" s="9" t="inlineStr">
        <is>
          <t>Serius</t>
        </is>
      </c>
      <c r="D32" s="9" t="inlineStr">
        <is>
          <t>Anomali</t>
        </is>
      </c>
      <c r="E32" s="11" t="inlineStr">
        <is>
          <t>Sisa X hari</t>
        </is>
      </c>
      <c r="F32" s="5" t="inlineStr">
        <is>
          <t>"X hari lagi PP 33 berlaku."</t>
        </is>
      </c>
      <c r="G32" s="5" t="inlineStr">
        <is>
          <t>0–3: hitung mundur · 3–11: program siap PP 33 · 11–15: logo</t>
        </is>
      </c>
      <c r="H32" s="5" t="inlineStr">
        <is>
          <t>Hitung mundur sudah jalan. Program siap PP tiga puluh tiga bersama Privasimu.</t>
        </is>
      </c>
      <c r="I32" s="5" t="inlineStr">
        <is>
          <t>—</t>
        </is>
      </c>
      <c r="J32" s="5" t="inlineStr">
        <is>
          <t>flip clock</t>
        </is>
      </c>
      <c r="K32" s="5" t="inlineStr">
        <is>
          <t>Program siap PP 33</t>
        </is>
      </c>
      <c r="L32" s="5" t="inlineStr">
        <is>
          <t>Stories / Reels</t>
        </is>
      </c>
      <c r="M32" s="5" t="inlineStr">
        <is>
          <t>N01 · N08</t>
        </is>
      </c>
    </row>
    <row r="33" ht="56" customHeight="1">
      <c r="A33" s="19" t="inlineStr">
        <is>
          <t>P29</t>
        </is>
      </c>
      <c r="B33" s="19" t="inlineStr">
        <is>
          <t>15 dtk</t>
        </is>
      </c>
      <c r="C33" s="19" t="inlineStr">
        <is>
          <t>Serius</t>
        </is>
      </c>
      <c r="D33" s="19" t="inlineStr">
        <is>
          <t>Anomali</t>
        </is>
      </c>
      <c r="E33" s="21" t="inlineStr">
        <is>
          <t>Denda 2%</t>
        </is>
      </c>
      <c r="F33" s="20" t="inlineStr">
        <is>
          <t>"Denda bisa sampai 2% pendapatan tahunan."</t>
        </is>
      </c>
      <c r="G33" s="20" t="inlineStr">
        <is>
          <t>0–3: angka 2% · 3–11: paparan sanksi (SCREENSHOT BARU) · 11–15: konsultasi</t>
        </is>
      </c>
      <c r="H33" s="20" t="inlineStr">
        <is>
          <t>Sanksi administratif bisa sampai dua persen pendapatan tahunan. Petakan paparannya sekarang.</t>
        </is>
      </c>
      <c r="I33" s="42" t="inlineStr">
        <is>
          <t>BELUM ADA: screenshot Paparan Sanksi</t>
        </is>
      </c>
      <c r="J33" s="20" t="inlineStr">
        <is>
          <t>dundun</t>
        </is>
      </c>
      <c r="K33" s="20" t="inlineStr">
        <is>
          <t>Konsultasi</t>
        </is>
      </c>
      <c r="L33" s="20" t="inlineStr">
        <is>
          <t>LinkedIn</t>
        </is>
      </c>
      <c r="M33" s="20" t="inlineStr">
        <is>
          <t>M20</t>
        </is>
      </c>
    </row>
    <row r="34" ht="56" customHeight="1">
      <c r="A34" s="9" t="inlineStr">
        <is>
          <t>P30</t>
        </is>
      </c>
      <c r="B34" s="9" t="inlineStr">
        <is>
          <t>15 dtk</t>
        </is>
      </c>
      <c r="C34" s="9" t="inlineStr">
        <is>
          <t>Serius</t>
        </is>
      </c>
      <c r="D34" s="9" t="inlineStr">
        <is>
          <t>Relate</t>
        </is>
      </c>
      <c r="E34" s="11" t="inlineStr">
        <is>
          <t>Jam 3 pagi (mini)</t>
        </is>
      </c>
      <c r="F34" s="5" t="inlineStr">
        <is>
          <t>"03.00 · dugaan kebocoran data."</t>
        </is>
      </c>
      <c r="G34" s="5" t="inlineStr">
        <is>
          <t>0–3: HP bergetar · 3–7: 5 fase · 7–11: templat &amp; RACI · 11–15: logo</t>
        </is>
      </c>
      <c r="H34" s="5" t="inlineStr">
        <is>
          <t>Jam tiga pagi. Alurnya sudah siap: lima fase, templat, dan pembagian peran.</t>
        </is>
      </c>
      <c r="I34" s="5" t="inlineStr">
        <is>
          <t>motion/assets/app/breach-detail.png → motion/assets/app/breach-aksi.png</t>
        </is>
      </c>
      <c r="J34" s="5" t="inlineStr">
        <is>
          <t>notif, alarm, ding</t>
        </is>
      </c>
      <c r="K34" s="5" t="inlineStr">
        <is>
          <t>Schedule Demo</t>
        </is>
      </c>
      <c r="L34" s="5" t="inlineStr">
        <is>
          <t>Reels / LinkedIn</t>
        </is>
      </c>
      <c r="M34" s="5" t="inlineStr">
        <is>
          <t>M11</t>
        </is>
      </c>
    </row>
    <row r="35" ht="56" customHeight="1">
      <c r="A35" s="19" t="inlineStr">
        <is>
          <t>P31</t>
        </is>
      </c>
      <c r="B35" s="19" t="inlineStr">
        <is>
          <t>15 dtk</t>
        </is>
      </c>
      <c r="C35" s="19" t="inlineStr">
        <is>
          <t>Meme</t>
        </is>
      </c>
      <c r="D35" s="19" t="inlineStr">
        <is>
          <t>Relate</t>
        </is>
      </c>
      <c r="E35" s="21" t="inlineStr">
        <is>
          <t>Tell me you're a DPO</t>
        </is>
      </c>
      <c r="F35" s="20" t="inlineStr">
        <is>
          <t>"Tell me you're a DPO without telling me"</t>
        </is>
      </c>
      <c r="G35" s="20" t="inlineStr">
        <is>
          <t>0–3: hook · 3–12: 4 kebiasaan DPO · 12–15: logo + "tag DPO-mu"</t>
        </is>
      </c>
      <c r="H35" s="20" t="inlineStr">
        <is>
          <t>—  (teks + musik)</t>
        </is>
      </c>
      <c r="I35" s="20" t="inlineStr">
        <is>
          <t>—</t>
        </is>
      </c>
      <c r="J35" s="20" t="inlineStr">
        <is>
          <t>pop, vine boom</t>
        </is>
      </c>
      <c r="K35" s="20" t="inlineStr">
        <is>
          <t>Tag DPO kantormu</t>
        </is>
      </c>
      <c r="L35" s="20" t="inlineStr">
        <is>
          <t>TikTok / Reels</t>
        </is>
      </c>
      <c r="M35" s="20" t="inlineStr">
        <is>
          <t>A12</t>
        </is>
      </c>
    </row>
    <row r="36" ht="56" customHeight="1">
      <c r="A36" s="9" t="inlineStr">
        <is>
          <t>P32</t>
        </is>
      </c>
      <c r="B36" s="9" t="inlineStr">
        <is>
          <t>15 dtk</t>
        </is>
      </c>
      <c r="C36" s="9" t="inlineStr">
        <is>
          <t>Serius</t>
        </is>
      </c>
      <c r="D36" s="9" t="inlineStr">
        <is>
          <t>Logika dipatahkan</t>
        </is>
      </c>
      <c r="E36" s="11" t="inlineStr">
        <is>
          <t>Laporan paling tebal</t>
        </is>
      </c>
      <c r="F36" s="5" t="inlineStr">
        <is>
          <t>"Laporan kepatuhan terbaik bukan yang paling tebal."</t>
        </is>
      </c>
      <c r="G36" s="5" t="inlineStr">
        <is>
          <t>0–3: hook · 3–12: dasbor + postur · 12–15: logo</t>
        </is>
      </c>
      <c r="H36" s="5" t="inlineStr">
        <is>
          <t>Laporan kepatuhan terbaik bukan yang paling tebal, tapi yang bisa dibaca dalam sepuluh detik.</t>
        </is>
      </c>
      <c r="I36" s="5" t="inlineStr">
        <is>
          <t>motion/assets/app/dashboard.png → frontend/tmp/audit4/security.png</t>
        </is>
      </c>
      <c r="J36" s="5" t="inlineStr">
        <is>
          <t>impact</t>
        </is>
      </c>
      <c r="K36" s="5" t="inlineStr">
        <is>
          <t>Start Pre Check</t>
        </is>
      </c>
      <c r="L36" s="5" t="inlineStr">
        <is>
          <t>LinkedIn / YouTube</t>
        </is>
      </c>
      <c r="M36" s="5" t="inlineStr">
        <is>
          <t>M01</t>
        </is>
      </c>
    </row>
  </sheetData>
  <autoFilter ref="A4:M36"/>
  <mergeCells count="1">
    <mergeCell ref="A2:M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16" customWidth="1" min="4" max="4"/>
    <col width="18" customWidth="1" min="5" max="5"/>
    <col width="22" customWidth="1" min="6" max="6"/>
    <col width="22" customWidth="1" min="7" max="7"/>
    <col width="38" customWidth="1" min="8" max="8"/>
    <col width="16" customWidth="1" min="9" max="9"/>
    <col width="60" customWidth="1" min="10" max="10"/>
    <col width="36" customWidth="1" min="11" max="11"/>
    <col width="18" customWidth="1" min="12" max="12"/>
    <col width="24" customWidth="1" min="13" max="13"/>
    <col width="26" customWidth="1" min="14" max="14"/>
    <col width="36" customWidth="1" min="15" max="15"/>
    <col width="10" customWidth="1" min="16" max="16"/>
    <col width="10" customWidth="1" min="17" max="17"/>
    <col width="10" customWidth="1" min="18" max="18"/>
    <col width="10" customWidth="1" min="19" max="19"/>
    <col width="11" customWidth="1" min="20" max="20"/>
    <col width="10" customWidth="1" min="21" max="21"/>
    <col width="9" customWidth="1" min="22" max="22"/>
    <col width="16" customWidth="1" min="23" max="23"/>
    <col width="34" customWidth="1" min="24" max="24"/>
    <col width="22" customWidth="1" min="25" max="25"/>
    <col width="22" customWidth="1" min="26" max="26"/>
    <col hidden="1" width="6" customWidth="1" min="27" max="27"/>
  </cols>
  <sheetData>
    <row r="1" ht="34" customHeight="1">
      <c r="A1" s="3" t="inlineStr">
        <is>
          <t>ID</t>
        </is>
      </c>
      <c r="B1" s="3" t="inlineStr">
        <is>
          <t>Judul konsep</t>
        </is>
      </c>
      <c r="C1" s="3" t="inlineStr">
        <is>
          <t>Format / tren meme</t>
        </is>
      </c>
      <c r="D1" s="3" t="inlineStr">
        <is>
          <t>Kategori</t>
        </is>
      </c>
      <c r="E1" s="3" t="inlineStr">
        <is>
          <t>Tujuan utama</t>
        </is>
      </c>
      <c r="F1" s="3" t="inlineStr">
        <is>
          <t>Target persona</t>
        </is>
      </c>
      <c r="G1" s="3" t="inlineStr">
        <is>
          <t>Platform &amp; durasi</t>
        </is>
      </c>
      <c r="H1" s="3" t="inlineStr">
        <is>
          <t>Hook (0–3 detik)</t>
        </is>
      </c>
      <c r="I1" s="3" t="inlineStr">
        <is>
          <t>Jenis hook</t>
        </is>
      </c>
      <c r="J1" s="3" t="inlineStr">
        <is>
          <t>Alur (per detik)</t>
        </is>
      </c>
      <c r="K1" s="3" t="inlineStr">
        <is>
          <t>Audio meme &amp; SFX</t>
        </is>
      </c>
      <c r="L1" s="3" t="inlineStr">
        <is>
          <t>Efek VO</t>
        </is>
      </c>
      <c r="M1" s="3" t="inlineStr">
        <is>
          <t>Modul / layanan</t>
        </is>
      </c>
      <c r="N1" s="3" t="inlineStr">
        <is>
          <t>CTA</t>
        </is>
      </c>
      <c r="O1" s="3" t="inlineStr">
        <is>
          <t>Dasar fakta / klaim</t>
        </is>
      </c>
      <c r="P1" s="3" t="inlineStr">
        <is>
          <t>Relatable (1–10)</t>
        </is>
      </c>
      <c r="Q1" s="3" t="inlineStr">
        <is>
          <t>Awareness (1–10)</t>
        </is>
      </c>
      <c r="R1" s="3" t="inlineStr">
        <is>
          <t>Convert (1–10)</t>
        </is>
      </c>
      <c r="S1" s="3" t="inlineStr">
        <is>
          <t>Share (1–10)</t>
        </is>
      </c>
      <c r="T1" s="3" t="inlineStr">
        <is>
          <t>SKOR TOTAL</t>
        </is>
      </c>
      <c r="U1" s="3" t="inlineStr">
        <is>
          <t>Indeks viral</t>
        </is>
      </c>
      <c r="V1" s="3" t="inlineStr">
        <is>
          <t>Peringkat</t>
        </is>
      </c>
      <c r="W1" s="3" t="inlineStr">
        <is>
          <t>Effort produksi</t>
        </is>
      </c>
      <c r="X1" s="3" t="inlineStr">
        <is>
          <t>Risiko &amp; catatan</t>
        </is>
      </c>
      <c r="Y1" s="3" t="inlineStr">
        <is>
          <t>Status</t>
        </is>
      </c>
      <c r="Z1" s="3" t="inlineStr">
        <is>
          <t>Waktu tayang terbaik</t>
        </is>
      </c>
      <c r="AA1" s="3" t="inlineStr">
        <is>
          <t>kunci</t>
        </is>
      </c>
    </row>
    <row r="2" ht="120" customHeight="1">
      <c r="A2" s="19" t="inlineStr">
        <is>
          <t>A01</t>
        </is>
      </c>
      <c r="B2" s="21" t="inlineStr">
        <is>
          <t>FAAAH: RoPA-nya masih Excel</t>
        </is>
      </c>
      <c r="C2" s="20" t="inlineStr">
        <is>
          <t>POV + suara "FAAAH" (gagal total)</t>
        </is>
      </c>
      <c r="D2" s="20" t="inlineStr">
        <is>
          <t>Tools</t>
        </is>
      </c>
      <c r="E2" s="20" t="inlineStr">
        <is>
          <t>Awareness → Konversi</t>
        </is>
      </c>
      <c r="F2" s="20" t="inlineStr">
        <is>
          <t>DPO, tim legal</t>
        </is>
      </c>
      <c r="G2" s="20" t="inlineStr">
        <is>
          <t>TikTok/Reels/Shorts 15–20 dtk</t>
        </is>
      </c>
      <c r="H2" s="20" t="inlineStr">
        <is>
          <t>Teks: "POV: auditor minta RoPA, kamu buka RoPA_final_revisi3_FIX.xlsx"</t>
        </is>
      </c>
      <c r="I2" s="19" t="inlineStr">
        <is>
          <t>Relate</t>
        </is>
      </c>
      <c r="J2" s="20" t="inlineStr">
        <is>
          <t>0–3 dtk: laptop membuka file spreadsheet pelan-pelan
3–5: "Tidak merespons…" → "FAAAH" + zoom ke wajah DPO 😩
5–10: potong ke wizard RoPA Nexus (screenshot asli): satu register, kode ROPA otomatis, jejak audit
10–15: DPO 😎 + CTA</t>
        </is>
      </c>
      <c r="K2" s="20" t="inlineStr">
        <is>
          <t>"FAAAH" (rekam ulang tim) di detik 4 · vine boom saat "tidak merespons" · musik drop saat Nexus muncul</t>
        </is>
      </c>
      <c r="L2" s="20" t="inlineStr">
        <is>
          <t>—</t>
        </is>
      </c>
      <c r="M2" s="20" t="inlineStr">
        <is>
          <t>RoPA</t>
        </is>
      </c>
      <c r="N2" s="20" t="inlineStr">
        <is>
          <t>Start Pre Check (gratis) di privasimu.com</t>
        </is>
      </c>
      <c r="O2" s="20" t="inlineStr">
        <is>
          <t>Register terpusat, kode ROPA-TAHUN-NOMOR, log audit (fakta_produk: ropa)</t>
        </is>
      </c>
      <c r="P2" s="19" t="n">
        <v>9</v>
      </c>
      <c r="Q2" s="19" t="n">
        <v>8</v>
      </c>
      <c r="R2" s="19" t="n">
        <v>7</v>
      </c>
      <c r="S2" s="19" t="n">
        <v>8</v>
      </c>
      <c r="T2" s="23">
        <f>ROUND(Q2*W_AW+R2*W_CV+S2*W_SH,1)</f>
        <v/>
      </c>
      <c r="U2" s="19">
        <f>ROUND((P2+S2)/2,1)</f>
        <v/>
      </c>
      <c r="V2" s="19">
        <f>RANK(T2,$T$2:$T$49)</f>
        <v/>
      </c>
      <c r="W2" s="20" t="inlineStr">
        <is>
          <t>Rendah</t>
        </is>
      </c>
      <c r="X2" s="20" t="inlineStr">
        <is>
          <t>Rendah. Jangan tampilkan logo/antarmuka spreadsheet bermerek</t>
        </is>
      </c>
      <c r="Y2" s="20" t="inlineStr">
        <is>
          <t>Bisa dibuat dari kit (varian N04)</t>
        </is>
      </c>
      <c r="Z2" s="20" t="inlineStr">
        <is>
          <t>Okt–Nov 2026</t>
        </is>
      </c>
      <c r="AA2" s="20">
        <f>T2+ROW()/100000</f>
        <v/>
      </c>
    </row>
    <row r="3" ht="120" customHeight="1">
      <c r="A3" s="9" t="inlineStr">
        <is>
          <t>A02</t>
        </is>
      </c>
      <c r="B3" s="11" t="inlineStr">
        <is>
          <t>Astaga, bercanda (Pak Bos edition)</t>
        </is>
      </c>
      <c r="C3" s="5" t="inlineStr">
        <is>
          <t>Chat + frasa viral "astaga, bercanda" (Agu–Sep 2026)</t>
        </is>
      </c>
      <c r="D3" s="5" t="inlineStr">
        <is>
          <t>Tools</t>
        </is>
      </c>
      <c r="E3" s="5" t="inlineStr">
        <is>
          <t>Awareness</t>
        </is>
      </c>
      <c r="F3" s="5" t="inlineStr">
        <is>
          <t>DPO, legal, pekerja kantoran</t>
        </is>
      </c>
      <c r="G3" s="5" t="inlineStr">
        <is>
          <t>TikTok/Reels 15 dtk</t>
        </is>
      </c>
      <c r="H3" s="5" t="inlineStr">
        <is>
          <t>Chat Pak Bos: "Kita sudah patuh UU PDP, kan?"</t>
        </is>
      </c>
      <c r="I3" s="9" t="inlineStr">
        <is>
          <t>Relate</t>
        </is>
      </c>
      <c r="J3" s="5" t="inlineStr">
        <is>
          <t>0–3: chat masuk
3–7: "Sudah dong, Pak. 100% ✅"
7–9: "astaga, bercanda 😭" + vine boom + 💀 "kita cooked"
9–15: skor GAP Assessment asli: "cek skor kepatuhan yang beneran" + CTA</t>
        </is>
      </c>
      <c r="K3" s="5" t="inlineStr">
        <is>
          <t>vine boom · ketikan · auraDown</t>
        </is>
      </c>
      <c r="L3" s="5" t="inlineStr">
        <is>
          <t>Pak Bos: "berat" ringan</t>
        </is>
      </c>
      <c r="M3" s="5" t="inlineStr">
        <is>
          <t>GAP Assessment</t>
        </is>
      </c>
      <c r="N3" s="5" t="inlineStr">
        <is>
          <t>Cek skor kepatuhan: Start Pre Check</t>
        </is>
      </c>
      <c r="O3" s="5" t="inlineStr">
        <is>
          <t>GAP: kuesioner, skor, rencana remediasi (fakta_produk: gap-assessment)</t>
        </is>
      </c>
      <c r="P3" s="9" t="n">
        <v>9</v>
      </c>
      <c r="Q3" s="9" t="n">
        <v>8</v>
      </c>
      <c r="R3" s="9" t="n">
        <v>7</v>
      </c>
      <c r="S3" s="9" t="n">
        <v>9</v>
      </c>
      <c r="T3" s="26">
        <f>ROUND(Q3*W_AW+R3*W_CV+S3*W_SH,1)</f>
        <v/>
      </c>
      <c r="U3" s="9">
        <f>ROUND((P3+S3)/2,1)</f>
        <v/>
      </c>
      <c r="V3" s="9">
        <f>RANK(T3,$T$2:$T$49)</f>
        <v/>
      </c>
      <c r="W3" s="5" t="inlineStr">
        <is>
          <t>Rendah</t>
        </is>
      </c>
      <c r="X3" s="5" t="inlineStr">
        <is>
          <t>Rendah</t>
        </is>
      </c>
      <c r="Y3" s="5" t="inlineStr">
        <is>
          <t>Sudah jadi (potongan N11)</t>
        </is>
      </c>
      <c r="Z3" s="5" t="inlineStr">
        <is>
          <t>Kapan saja</t>
        </is>
      </c>
      <c r="AA3" s="5">
        <f>T3+ROW()/100000</f>
        <v/>
      </c>
    </row>
    <row r="4" ht="120" customHeight="1">
      <c r="A4" s="19" t="inlineStr">
        <is>
          <t>A03</t>
        </is>
      </c>
      <c r="B4" s="21" t="inlineStr">
        <is>
          <t>Hal yang bisa kamu bilang ke auditor</t>
        </is>
      </c>
      <c r="C4" s="20" t="inlineStr">
        <is>
          <t>"Things to Say" (Agu–Sep 2026) + "adalah pokoknya"</t>
        </is>
      </c>
      <c r="D4" s="20" t="inlineStr">
        <is>
          <t>Edukasi + Tools</t>
        </is>
      </c>
      <c r="E4" s="20" t="inlineStr">
        <is>
          <t>Awareness + Share</t>
        </is>
      </c>
      <c r="F4" s="20" t="inlineStr">
        <is>
          <t>DPO, auditor internal</t>
        </is>
      </c>
      <c r="G4" s="20" t="inlineStr">
        <is>
          <t>TikTok/Reels 20 dtk</t>
        </is>
      </c>
      <c r="H4" s="20" t="inlineStr">
        <is>
          <t>"Hal yang bisa kamu bilang ke auditor:"</t>
        </is>
      </c>
      <c r="I4" s="19" t="inlineStr">
        <is>
          <t>Reverse psychology</t>
        </is>
      </c>
      <c r="J4" s="20" t="inlineStr">
        <is>
          <t>Daftar 3 jawaban konyol: KTP di grup kantor · RoPA di kepala saya · "adalah pokoknya"
→ tiap jawaban "+1 temuan" → stempel JANGAN DITIRU
→ jawaban yang benar ada di Nexus: register, DPIA, log audit</t>
        </is>
      </c>
      <c r="K4" s="20" t="inlineStr">
        <is>
          <t>vine boom per jawaban · stamp · phonk cowbell (synth)</t>
        </is>
      </c>
      <c r="L4" s="20" t="inlineStr">
        <is>
          <t>Narator "berat" (gaya sigma)</t>
        </is>
      </c>
      <c r="M4" s="20" t="inlineStr">
        <is>
          <t>RoPA, DPIA, log audit</t>
        </is>
      </c>
      <c r="N4" s="20" t="inlineStr">
        <is>
          <t>Simpan &amp; tag rekan tim</t>
        </is>
      </c>
      <c r="O4" s="20" t="inlineStr">
        <is>
          <t>Log audit &amp; register terpusat (fakta_produk)</t>
        </is>
      </c>
      <c r="P4" s="19" t="n">
        <v>8</v>
      </c>
      <c r="Q4" s="19" t="n">
        <v>8</v>
      </c>
      <c r="R4" s="19" t="n">
        <v>6</v>
      </c>
      <c r="S4" s="19" t="n">
        <v>9</v>
      </c>
      <c r="T4" s="23">
        <f>ROUND(Q4*W_AW+R4*W_CV+S4*W_SH,1)</f>
        <v/>
      </c>
      <c r="U4" s="19">
        <f>ROUND((P4+S4)/2,1)</f>
        <v/>
      </c>
      <c r="V4" s="19">
        <f>RANK(T4,$T$2:$T$49)</f>
        <v/>
      </c>
      <c r="W4" s="20" t="inlineStr">
        <is>
          <t>Rendah</t>
        </is>
      </c>
      <c r="X4" s="20" t="inlineStr">
        <is>
          <t>Rendah. Pastikan label "JANGAN DITIRU" jelas</t>
        </is>
      </c>
      <c r="Y4" s="20" t="inlineStr">
        <is>
          <t>Sudah jadi (potongan N11)</t>
        </is>
      </c>
      <c r="Z4" s="20" t="inlineStr">
        <is>
          <t>Kapan saja</t>
        </is>
      </c>
      <c r="AA4" s="20">
        <f>T4+ROW()/100000</f>
        <v/>
      </c>
    </row>
    <row r="5" ht="120" customHeight="1">
      <c r="A5" s="9" t="inlineStr">
        <is>
          <t>A04</t>
        </is>
      </c>
      <c r="B5" s="11" t="inlineStr">
        <is>
          <t>Orang have vs haven't vs not yet</t>
        </is>
      </c>
      <c r="C5" s="5" t="inlineStr">
        <is>
          <t>Istilah gaul "orang have/haven't/not yet" (Sep 2026)</t>
        </is>
      </c>
      <c r="D5" s="5" t="inlineStr">
        <is>
          <t>Tools</t>
        </is>
      </c>
      <c r="E5" s="5" t="inlineStr">
        <is>
          <t>Awareness + Share</t>
        </is>
      </c>
      <c r="F5" s="5" t="inlineStr">
        <is>
          <t>DPO, pekerja kantoran</t>
        </is>
      </c>
      <c r="G5" s="5" t="inlineStr">
        <is>
          <t>TikTok/Reels 12–15 dtk</t>
        </is>
      </c>
      <c r="H5" s="5" t="inlineStr">
        <is>
          <t>"Ada orang have…"</t>
        </is>
      </c>
      <c r="I5" s="9" t="inlineStr">
        <is>
          <t>Relate</t>
        </is>
      </c>
      <c r="J5" s="5" t="inlineStr">
        <is>
          <t>Template 3 panel: have (RoPA lengkap) / haven't (RoPA masih spreadsheet) / not yet (DPO 🫠)
→ "jadi orang have: pakai Nexus"</t>
        </is>
      </c>
      <c r="K5" s="5" t="inlineStr">
        <is>
          <t>vine boom · buzzer · auraDown</t>
        </is>
      </c>
      <c r="L5" s="5" t="inlineStr">
        <is>
          <t>—</t>
        </is>
      </c>
      <c r="M5" s="5" t="inlineStr">
        <is>
          <t>RoPA, DPIA</t>
        </is>
      </c>
      <c r="N5" s="5" t="inlineStr">
        <is>
          <t>Jadi orang have: privasimu.com</t>
        </is>
      </c>
      <c r="O5" s="5" t="inlineStr">
        <is>
          <t>—</t>
        </is>
      </c>
      <c r="P5" s="9" t="n">
        <v>9</v>
      </c>
      <c r="Q5" s="9" t="n">
        <v>9</v>
      </c>
      <c r="R5" s="9" t="n">
        <v>6</v>
      </c>
      <c r="S5" s="9" t="n">
        <v>8</v>
      </c>
      <c r="T5" s="26">
        <f>ROUND(Q5*W_AW+R5*W_CV+S5*W_SH,1)</f>
        <v/>
      </c>
      <c r="U5" s="9">
        <f>ROUND((P5+S5)/2,1)</f>
        <v/>
      </c>
      <c r="V5" s="9">
        <f>RANK(T5,$T$2:$T$49)</f>
        <v/>
      </c>
      <c r="W5" s="5" t="inlineStr">
        <is>
          <t>Rendah</t>
        </is>
      </c>
      <c r="X5" s="5" t="inlineStr">
        <is>
          <t>Rendah</t>
        </is>
      </c>
      <c r="Y5" s="5" t="inlineStr">
        <is>
          <t>Sudah jadi (potongan N11)</t>
        </is>
      </c>
      <c r="Z5" s="5" t="inlineStr">
        <is>
          <t>Okt 2026 (selagi tren)</t>
        </is>
      </c>
      <c r="AA5" s="5">
        <f>T5+ROW()/100000</f>
        <v/>
      </c>
    </row>
    <row r="6" ht="120" customHeight="1">
      <c r="A6" s="19" t="inlineStr">
        <is>
          <t>A05</t>
        </is>
      </c>
      <c r="B6" s="21" t="inlineStr">
        <is>
          <t>Borgol 3×24 jam yang kebesaran</t>
        </is>
      </c>
      <c r="C6" s="20" t="inlineStr">
        <is>
          <t>Borgol kebesaran yang gampang lepas (Sep 2026), digambar ulang</t>
        </is>
      </c>
      <c r="D6" s="20" t="inlineStr">
        <is>
          <t>Tools</t>
        </is>
      </c>
      <c r="E6" s="20" t="inlineStr">
        <is>
          <t>Awareness → Konversi</t>
        </is>
      </c>
      <c r="F6" s="20" t="inlineStr">
        <is>
          <t>DPO, IT security, CISO</t>
        </is>
      </c>
      <c r="G6" s="20" t="inlineStr">
        <is>
          <t>Reels/Shorts 15–20 dtk</t>
        </is>
      </c>
      <c r="H6" s="20" t="inlineStr">
        <is>
          <t>"Jam 3 pagi: dugaan kebocoran data."</t>
        </is>
      </c>
      <c r="I6" s="19" t="inlineStr">
        <is>
          <t>Anomali</t>
        </is>
      </c>
      <c r="J6" s="20" t="inlineStr">
        <is>
          <t>Layar kunci 03.00 → borgol raksasa "3 X 24 JAM" jatuh → "Tenang" borgol melorot
→ modul insiden asli: 5 fase, hitung mundur, templat pemberitahuan</t>
        </is>
      </c>
      <c r="K6" s="20" t="inlineStr">
        <is>
          <t>notifikasi · clank · slide whistle · "FAAAH" opsional saat borgol jatuh</t>
        </is>
      </c>
      <c r="L6" s="20" t="inlineStr">
        <is>
          <t>—</t>
        </is>
      </c>
      <c r="M6" s="20" t="inlineStr">
        <is>
          <t>Manajemen Insiden</t>
        </is>
      </c>
      <c r="N6" s="20" t="inlineStr">
        <is>
          <t>Latih tim sebelum insiden: minta demo</t>
        </is>
      </c>
      <c r="O6" s="20" t="inlineStr">
        <is>
          <t>UU PDP Ps. 46 jo. PP 33/2026 Ps. 114; fakta_produk: breach</t>
        </is>
      </c>
      <c r="P6" s="19" t="n">
        <v>8</v>
      </c>
      <c r="Q6" s="19" t="n">
        <v>7</v>
      </c>
      <c r="R6" s="19" t="n">
        <v>8</v>
      </c>
      <c r="S6" s="19" t="n">
        <v>7</v>
      </c>
      <c r="T6" s="23">
        <f>ROUND(Q6*W_AW+R6*W_CV+S6*W_SH,1)</f>
        <v/>
      </c>
      <c r="U6" s="19">
        <f>ROUND((P6+S6)/2,1)</f>
        <v/>
      </c>
      <c r="V6" s="19">
        <f>RANK(T6,$T$2:$T$49)</f>
        <v/>
      </c>
      <c r="W6" s="20" t="inlineStr">
        <is>
          <t>Rendah</t>
        </is>
      </c>
      <c r="X6" s="20" t="inlineStr">
        <is>
          <t>Rendah</t>
        </is>
      </c>
      <c r="Y6" s="20" t="inlineStr">
        <is>
          <t>Sudah jadi (potongan N11)</t>
        </is>
      </c>
      <c r="Z6" s="20" t="inlineStr">
        <is>
          <t>Nov 2026</t>
        </is>
      </c>
      <c r="AA6" s="20">
        <f>T6+ROW()/100000</f>
        <v/>
      </c>
    </row>
    <row r="7" ht="120" customHeight="1">
      <c r="A7" s="9" t="inlineStr">
        <is>
          <t>A06</t>
        </is>
      </c>
      <c r="B7" s="11" t="inlineStr">
        <is>
          <t>Polyester Edit: 1 DPO, semua modul</t>
        </is>
      </c>
      <c r="C7" s="5" t="inlineStr">
        <is>
          <t>"Polyester Edit" (Sep 2026)</t>
        </is>
      </c>
      <c r="D7" s="5" t="inlineStr">
        <is>
          <t>Tools</t>
        </is>
      </c>
      <c r="E7" s="5" t="inlineStr">
        <is>
          <t>Awareness</t>
        </is>
      </c>
      <c r="F7" s="5" t="inlineStr">
        <is>
          <t>DPO, IT, legal</t>
        </is>
      </c>
      <c r="G7" s="5" t="inlineStr">
        <is>
          <t>TikTok/Reels 10–12 dtk</t>
        </is>
      </c>
      <c r="H7" s="5" t="inlineStr">
        <is>
          <t>"Kalau DPO punya polyester edit:"</t>
        </is>
      </c>
      <c r="I7" s="9" t="inlineStr">
        <is>
          <t>Anomali</t>
        </is>
      </c>
      <c r="J7" s="5" t="inlineStr">
        <is>
          <t>DPO diam di depan, layar asli Nexus berganti liar di belakang → kolase "SEMUA NYAMBUNG"</t>
        </is>
      </c>
      <c r="K7" s="5" t="inlineStr">
        <is>
          <t>funk Brasil (synth) · hit per potongan · aura</t>
        </is>
      </c>
      <c r="L7" s="5" t="inlineStr">
        <is>
          <t>—</t>
        </is>
      </c>
      <c r="M7" s="5" t="inlineStr">
        <is>
          <t>Semua modul</t>
        </is>
      </c>
      <c r="N7" s="5" t="inlineStr">
        <is>
          <t>Lihat demonya</t>
        </is>
      </c>
      <c r="O7" s="5" t="inlineStr">
        <is>
          <t>Modul saling terhubung (fakta_produk: platform)</t>
        </is>
      </c>
      <c r="P7" s="9" t="n">
        <v>6</v>
      </c>
      <c r="Q7" s="9" t="n">
        <v>8</v>
      </c>
      <c r="R7" s="9" t="n">
        <v>7</v>
      </c>
      <c r="S7" s="9" t="n">
        <v>7</v>
      </c>
      <c r="T7" s="26">
        <f>ROUND(Q7*W_AW+R7*W_CV+S7*W_SH,1)</f>
        <v/>
      </c>
      <c r="U7" s="9">
        <f>ROUND((P7+S7)/2,1)</f>
        <v/>
      </c>
      <c r="V7" s="9">
        <f>RANK(T7,$T$2:$T$49)</f>
        <v/>
      </c>
      <c r="W7" s="5" t="inlineStr">
        <is>
          <t>Rendah</t>
        </is>
      </c>
      <c r="X7" s="5" t="inlineStr">
        <is>
          <t>Rendah</t>
        </is>
      </c>
      <c r="Y7" s="5" t="inlineStr">
        <is>
          <t>Sudah jadi (potongan N11)</t>
        </is>
      </c>
      <c r="Z7" s="5" t="inlineStr">
        <is>
          <t>Okt–Nov 2026</t>
        </is>
      </c>
      <c r="AA7" s="5">
        <f>T7+ROW()/100000</f>
        <v/>
      </c>
    </row>
    <row r="8" ht="120" customHeight="1">
      <c r="A8" s="19" t="inlineStr">
        <is>
          <t>A07</t>
        </is>
      </c>
      <c r="B8" s="21" t="inlineStr">
        <is>
          <t>Kinda chic to… (DPO edition)</t>
        </is>
      </c>
      <c r="C8" s="20" t="inlineStr">
        <is>
          <t>"Kinda chic to…" (tren caption Sep 2026)</t>
        </is>
      </c>
      <c r="D8" s="20" t="inlineStr">
        <is>
          <t>Tools / Brand</t>
        </is>
      </c>
      <c r="E8" s="20" t="inlineStr">
        <is>
          <t>Awareness (LinkedIn)</t>
        </is>
      </c>
      <c r="F8" s="20" t="inlineStr">
        <is>
          <t>DPO senior, compliance lead</t>
        </is>
      </c>
      <c r="G8" s="20" t="inlineStr">
        <is>
          <t>LinkedIn/Instagram 10–15 dtk</t>
        </is>
      </c>
      <c r="H8" s="20" t="inlineStr">
        <is>
          <t>"Kinda chic to… lapor insiden tepat waktu."</t>
        </is>
      </c>
      <c r="I8" s="19" t="inlineStr">
        <is>
          <t>Logika dipatahkan</t>
        </is>
      </c>
      <c r="J8" s="20" t="inlineStr">
        <is>
          <t>3–5 baris "kinda chic to…" + dasbor asli di laptop → CTA</t>
        </is>
      </c>
      <c r="K8" s="20" t="inlineStr">
        <is>
          <t>lo-fi · ding lembut</t>
        </is>
      </c>
      <c r="L8" s="20" t="inlineStr">
        <is>
          <t>—</t>
        </is>
      </c>
      <c r="M8" s="20" t="inlineStr">
        <is>
          <t>Dasbor, insiden, RoPA</t>
        </is>
      </c>
      <c r="N8" s="20" t="inlineStr">
        <is>
          <t>Kinda chic to be ready: privasimu.com</t>
        </is>
      </c>
      <c r="O8" s="20" t="inlineStr">
        <is>
          <t>PP 33/2026 berlaku 16 Jan 2027</t>
        </is>
      </c>
      <c r="P8" s="19" t="n">
        <v>7</v>
      </c>
      <c r="Q8" s="19" t="n">
        <v>7</v>
      </c>
      <c r="R8" s="19" t="n">
        <v>7</v>
      </c>
      <c r="S8" s="19" t="n">
        <v>8</v>
      </c>
      <c r="T8" s="23">
        <f>ROUND(Q8*W_AW+R8*W_CV+S8*W_SH,1)</f>
        <v/>
      </c>
      <c r="U8" s="19">
        <f>ROUND((P8+S8)/2,1)</f>
        <v/>
      </c>
      <c r="V8" s="19">
        <f>RANK(T8,$T$2:$T$49)</f>
        <v/>
      </c>
      <c r="W8" s="20" t="inlineStr">
        <is>
          <t>Rendah</t>
        </is>
      </c>
      <c r="X8" s="20" t="inlineStr">
        <is>
          <t>Rendah</t>
        </is>
      </c>
      <c r="Y8" s="20" t="inlineStr">
        <is>
          <t>Sudah jadi (potongan N11)</t>
        </is>
      </c>
      <c r="Z8" s="20" t="inlineStr">
        <is>
          <t>Nov–Des 2026</t>
        </is>
      </c>
      <c r="AA8" s="20">
        <f>T8+ROW()/100000</f>
        <v/>
      </c>
    </row>
    <row r="9" ht="120" customHeight="1">
      <c r="A9" s="9" t="inlineStr">
        <is>
          <t>A08</t>
        </is>
      </c>
      <c r="B9" s="11" t="inlineStr">
        <is>
          <t>EMOTIONAL DAMAGE: denda 2%</t>
        </is>
      </c>
      <c r="C9" s="5" t="inlineStr">
        <is>
          <t>Frasa "emotional damage" (direkam ulang tim, tanpa meniru logat/persona)</t>
        </is>
      </c>
      <c r="D9" s="5" t="inlineStr">
        <is>
          <t>Konsultasi + Tools</t>
        </is>
      </c>
      <c r="E9" s="5" t="inlineStr">
        <is>
          <t>Konversi</t>
        </is>
      </c>
      <c r="F9" s="5" t="inlineStr">
        <is>
          <t>Direksi, CFO</t>
        </is>
      </c>
      <c r="G9" s="5" t="inlineStr">
        <is>
          <t>Reels/LinkedIn 15 dtk</t>
        </is>
      </c>
      <c r="H9" s="5" t="inlineStr">
        <is>
          <t>"CFO membaca: denda administratif hingga 2% dari pendapatan tahunan"</t>
        </is>
      </c>
      <c r="I9" s="9" t="inlineStr">
        <is>
          <t>Anomali</t>
        </is>
      </c>
      <c r="J9" s="5" t="inlineStr">
        <is>
          <t>CFO 😳 → teriakan "EMOTIONAL DAMAGE!" + dun dun dun
→ Paparan Sanksi Nexus memetakan pasal bersanksi ke modul → CTA konsultasi</t>
        </is>
      </c>
      <c r="K9" s="5" t="inlineStr">
        <is>
          <t>rekaman tim "emotional damage" · dun dun dun</t>
        </is>
      </c>
      <c r="L9" s="5" t="inlineStr">
        <is>
          <t>Teks sanksi: "berat"</t>
        </is>
      </c>
      <c r="M9" s="5" t="inlineStr">
        <is>
          <t>Paparan Sanksi Administratif</t>
        </is>
      </c>
      <c r="N9" s="5" t="inlineStr">
        <is>
          <t>Jadwalkan konsultasi program siap PP 33</t>
        </is>
      </c>
      <c r="O9" s="5" t="inlineStr">
        <is>
          <t>UU PDP Ps. 57 (denda maks. 2% pendapatan tahunan); fakta_produk: paparan sanksi</t>
        </is>
      </c>
      <c r="P9" s="9" t="n">
        <v>7</v>
      </c>
      <c r="Q9" s="9" t="n">
        <v>8</v>
      </c>
      <c r="R9" s="9" t="n">
        <v>8</v>
      </c>
      <c r="S9" s="9" t="n">
        <v>7</v>
      </c>
      <c r="T9" s="26">
        <f>ROUND(Q9*W_AW+R9*W_CV+S9*W_SH,1)</f>
        <v/>
      </c>
      <c r="U9" s="9">
        <f>ROUND((P9+S9)/2,1)</f>
        <v/>
      </c>
      <c r="V9" s="9">
        <f>RANK(T9,$T$2:$T$49)</f>
        <v/>
      </c>
      <c r="W9" s="5" t="inlineStr">
        <is>
          <t>Sedang</t>
        </is>
      </c>
      <c r="X9" s="5" t="inlineStr">
        <is>
          <t>Sedang. Frasa populer milik kreator lain: rekam dengan suara sendiri, jangan tiru logat/etnis</t>
        </is>
      </c>
      <c r="Y9" s="5" t="inlineStr">
        <is>
          <t>Baru (kit)</t>
        </is>
      </c>
      <c r="Z9" s="5" t="inlineStr">
        <is>
          <t>Nov 2026 (musim anggaran)</t>
        </is>
      </c>
      <c r="AA9" s="5">
        <f>T9+ROW()/100000</f>
        <v/>
      </c>
    </row>
    <row r="10" ht="120" customHeight="1">
      <c r="A10" s="19" t="inlineStr">
        <is>
          <t>A09</t>
        </is>
      </c>
      <c r="B10" s="21" t="inlineStr">
        <is>
          <t>Nobody: / Marketing jam 5 sore</t>
        </is>
      </c>
      <c r="C10" s="20" t="inlineStr">
        <is>
          <t>"Nobody:" + reaksi "HAH?"</t>
        </is>
      </c>
      <c r="D10" s="20" t="inlineStr">
        <is>
          <t>Tools</t>
        </is>
      </c>
      <c r="E10" s="20" t="inlineStr">
        <is>
          <t>Awareness + Share</t>
        </is>
      </c>
      <c r="F10" s="20" t="inlineStr">
        <is>
          <t>Marketing, DPO</t>
        </is>
      </c>
      <c r="G10" s="20" t="inlineStr">
        <is>
          <t>TikTok/Reels 15 dtk</t>
        </is>
      </c>
      <c r="H10" s="20" t="inlineStr">
        <is>
          <t>"Nobody: / Marketing jam 5 sore: 'blast promo ke semua nomor di database ya!'"</t>
        </is>
      </c>
      <c r="I10" s="19" t="inlineStr">
        <is>
          <t>Relate</t>
        </is>
      </c>
      <c r="J10" s="20" t="inlineStr">
        <is>
          <t>DPO: "consent-nya ada?" → marketing: "consent itu apa?" → "HAH?"
→ Consent Nexus: log persetujuan + bukti, penarikan tersebar ke semua sistem</t>
        </is>
      </c>
      <c r="K10" s="20" t="inlineStr">
        <is>
          <t>"HAH?" (rekam tim) · vine boom · jangkrik</t>
        </is>
      </c>
      <c r="L10" s="20" t="inlineStr">
        <is>
          <t>—</t>
        </is>
      </c>
      <c r="M10" s="20" t="inlineStr">
        <is>
          <t>Consent &amp; Cookie</t>
        </is>
      </c>
      <c r="N10" s="20" t="inlineStr">
        <is>
          <t>Tag tim marketing kalian</t>
        </is>
      </c>
      <c r="O10" s="20" t="inlineStr">
        <is>
          <t>fakta_produk: consent (log + bukti, penarikan via API/webhook)</t>
        </is>
      </c>
      <c r="P10" s="19" t="n">
        <v>9</v>
      </c>
      <c r="Q10" s="19" t="n">
        <v>8</v>
      </c>
      <c r="R10" s="19" t="n">
        <v>7</v>
      </c>
      <c r="S10" s="19" t="n">
        <v>9</v>
      </c>
      <c r="T10" s="23">
        <f>ROUND(Q10*W_AW+R10*W_CV+S10*W_SH,1)</f>
        <v/>
      </c>
      <c r="U10" s="19">
        <f>ROUND((P10+S10)/2,1)</f>
        <v/>
      </c>
      <c r="V10" s="19">
        <f>RANK(T10,$T$2:$T$49)</f>
        <v/>
      </c>
      <c r="W10" s="20" t="inlineStr">
        <is>
          <t>Rendah</t>
        </is>
      </c>
      <c r="X10" s="20" t="inlineStr">
        <is>
          <t>Rendah. Jangan sebut merek aplikasi chat tertentu</t>
        </is>
      </c>
      <c r="Y10" s="20" t="inlineStr">
        <is>
          <t>Baru (kit, mirip N05)</t>
        </is>
      </c>
      <c r="Z10" s="20" t="inlineStr">
        <is>
          <t>Des 2026 (musim promo 12.12)</t>
        </is>
      </c>
      <c r="AA10" s="20">
        <f>T10+ROW()/100000</f>
        <v/>
      </c>
    </row>
    <row r="11" ht="120" customHeight="1">
      <c r="A11" s="9" t="inlineStr">
        <is>
          <t>A10</t>
        </is>
      </c>
      <c r="B11" s="11" t="inlineStr">
        <is>
          <t>Tolong hapus data saya → LARIII</t>
        </is>
      </c>
      <c r="C11" s="5" t="inlineStr">
        <is>
          <t>Panik "RUN" (rekam ulang: "LARIII!")</t>
        </is>
      </c>
      <c r="D11" s="5" t="inlineStr">
        <is>
          <t>Tools</t>
        </is>
      </c>
      <c r="E11" s="5" t="inlineStr">
        <is>
          <t>Awareness → Konversi</t>
        </is>
      </c>
      <c r="F11" s="5" t="inlineStr">
        <is>
          <t>Customer service, DPO</t>
        </is>
      </c>
      <c r="G11" s="5" t="inlineStr">
        <is>
          <t>Reels/Shorts 15 dtk</t>
        </is>
      </c>
      <c r="H11" s="5" t="inlineStr">
        <is>
          <t>Email masuk: "Tolong hapus data saya 🙏"</t>
        </is>
      </c>
      <c r="I11" s="9" t="inlineStr">
        <is>
          <t>Relate</t>
        </is>
      </c>
      <c r="J11" s="5" t="inlineStr">
        <is>
          <t>Seluruh kantor lari 🏃 "LARIII!" → DPO tenang buka DSR Nexus: tenggat 72 jam otomatis, verifikasi identitas, draf jawaban AI</t>
        </is>
      </c>
      <c r="K11" s="5" t="inlineStr">
        <is>
          <t>"LARIII!" (rekam tim) · whoosh · detak jam</t>
        </is>
      </c>
      <c r="L11" s="5" t="inlineStr">
        <is>
          <t>—</t>
        </is>
      </c>
      <c r="M11" s="5" t="inlineStr">
        <is>
          <t>DSR</t>
        </is>
      </c>
      <c r="N11" s="5" t="inlineStr">
        <is>
          <t>Coba alur DSR di demo</t>
        </is>
      </c>
      <c r="O11" s="5" t="inlineStr">
        <is>
          <t>fakta_produk: dsr (tenggat 72 jam, verifikasi, draf AI)</t>
        </is>
      </c>
      <c r="P11" s="9" t="n">
        <v>8</v>
      </c>
      <c r="Q11" s="9" t="n">
        <v>7</v>
      </c>
      <c r="R11" s="9" t="n">
        <v>8</v>
      </c>
      <c r="S11" s="9" t="n">
        <v>7</v>
      </c>
      <c r="T11" s="26">
        <f>ROUND(Q11*W_AW+R11*W_CV+S11*W_SH,1)</f>
        <v/>
      </c>
      <c r="U11" s="9">
        <f>ROUND((P11+S11)/2,1)</f>
        <v/>
      </c>
      <c r="V11" s="9">
        <f>RANK(T11,$T$2:$T$49)</f>
        <v/>
      </c>
      <c r="W11" s="5" t="inlineStr">
        <is>
          <t>Rendah</t>
        </is>
      </c>
      <c r="X11" s="5" t="inlineStr">
        <is>
          <t>Rendah</t>
        </is>
      </c>
      <c r="Y11" s="5" t="inlineStr">
        <is>
          <t>Bisa dari N05</t>
        </is>
      </c>
      <c r="Z11" s="5" t="inlineStr">
        <is>
          <t>Okt 2026</t>
        </is>
      </c>
      <c r="AA11" s="5">
        <f>T11+ROW()/100000</f>
        <v/>
      </c>
    </row>
    <row r="12" ht="120" customHeight="1">
      <c r="A12" s="19" t="inlineStr">
        <is>
          <t>A11</t>
        </is>
      </c>
      <c r="B12" s="21" t="inlineStr">
        <is>
          <t>HAH? Data pribadi spesifik itu apa?</t>
        </is>
      </c>
      <c r="C12" s="20" t="inlineStr">
        <is>
          <t>Reaksi "huh?"</t>
        </is>
      </c>
      <c r="D12" s="20" t="inlineStr">
        <is>
          <t>Edukasi + Tools</t>
        </is>
      </c>
      <c r="E12" s="20" t="inlineStr">
        <is>
          <t>Awareness</t>
        </is>
      </c>
      <c r="F12" s="20" t="inlineStr">
        <is>
          <t>Karyawan umum, HR</t>
        </is>
      </c>
      <c r="G12" s="20" t="inlineStr">
        <is>
          <t>Reels/Shorts 15 dtk</t>
        </is>
      </c>
      <c r="H12" s="20" t="inlineStr">
        <is>
          <t>"Data pribadi spesifik itu apa?" "HAH?"</t>
        </is>
      </c>
      <c r="I12" s="19" t="inlineStr">
        <is>
          <t>Relate</t>
        </is>
      </c>
      <c r="J12" s="20" t="inlineStr">
        <is>
          <t>Daftar cepat: kesehatan, biometrik, genetika, catatan kejahatan, data anak, keuangan pribadi
→ di Nexus: data spesifik otomatis risiko TINGGI + draf DPIA</t>
        </is>
      </c>
      <c r="K12" s="20" t="inlineStr">
        <is>
          <t>"HAH?" (rekam tim) · pop per item</t>
        </is>
      </c>
      <c r="L12" s="20" t="inlineStr">
        <is>
          <t>"HAH?" bisa pakai efek "tupai"</t>
        </is>
      </c>
      <c r="M12" s="20" t="inlineStr">
        <is>
          <t>RoPA → DPIA otomatis</t>
        </is>
      </c>
      <c r="N12" s="20" t="inlineStr">
        <is>
          <t>Simpan &amp; bagikan ke tim</t>
        </is>
      </c>
      <c r="O12" s="20" t="inlineStr">
        <is>
          <t>UU PDP Ps. 4 ayat (2); fakta_produk: ropa (spesifik → TINGGI → draf DPIA)</t>
        </is>
      </c>
      <c r="P12" s="19" t="n">
        <v>7</v>
      </c>
      <c r="Q12" s="19" t="n">
        <v>7</v>
      </c>
      <c r="R12" s="19" t="n">
        <v>6</v>
      </c>
      <c r="S12" s="19" t="n">
        <v>7</v>
      </c>
      <c r="T12" s="23">
        <f>ROUND(Q12*W_AW+R12*W_CV+S12*W_SH,1)</f>
        <v/>
      </c>
      <c r="U12" s="19">
        <f>ROUND((P12+S12)/2,1)</f>
        <v/>
      </c>
      <c r="V12" s="19">
        <f>RANK(T12,$T$2:$T$49)</f>
        <v/>
      </c>
      <c r="W12" s="20" t="inlineStr">
        <is>
          <t>Rendah</t>
        </is>
      </c>
      <c r="X12" s="20" t="inlineStr">
        <is>
          <t>Rendah</t>
        </is>
      </c>
      <c r="Y12" s="20" t="inlineStr">
        <is>
          <t>Baru (kit)</t>
        </is>
      </c>
      <c r="Z12" s="20" t="inlineStr">
        <is>
          <t>Kapan saja</t>
        </is>
      </c>
      <c r="AA12" s="20">
        <f>T12+ROW()/100000</f>
        <v/>
      </c>
    </row>
    <row r="13" ht="120" customHeight="1">
      <c r="A13" s="9" t="inlineStr">
        <is>
          <t>A12</t>
        </is>
      </c>
      <c r="B13" s="11" t="inlineStr">
        <is>
          <t>Tell me you're a DPO without telling me</t>
        </is>
      </c>
      <c r="C13" s="5" t="inlineStr">
        <is>
          <t>Format "tell me … without telling me"</t>
        </is>
      </c>
      <c r="D13" s="5" t="inlineStr">
        <is>
          <t>Brand / komunitas</t>
        </is>
      </c>
      <c r="E13" s="5" t="inlineStr">
        <is>
          <t>Share</t>
        </is>
      </c>
      <c r="F13" s="5" t="inlineStr">
        <is>
          <t>DPO, legal</t>
        </is>
      </c>
      <c r="G13" s="5" t="inlineStr">
        <is>
          <t>TikTok/Reels 10–15 dtk</t>
        </is>
      </c>
      <c r="H13" s="5" t="inlineStr">
        <is>
          <t>"Tell me you're a DPO without telling me"</t>
        </is>
      </c>
      <c r="I13" s="9" t="inlineStr">
        <is>
          <t>Relate</t>
        </is>
      </c>
      <c r="J13" s="5" t="inlineStr">
        <is>
          <t>4 kebiasaan: nyensor KTP di grup · nanya "dasar pemrosesannya apa?" · takut file FINAL_final · hafal "3×24 jam" → end card Nexus</t>
        </is>
      </c>
      <c r="K13" s="5" t="inlineStr">
        <is>
          <t>pop · vine boom di akhir</t>
        </is>
      </c>
      <c r="L13" s="5" t="inlineStr">
        <is>
          <t>—</t>
        </is>
      </c>
      <c r="M13" s="5" t="inlineStr">
        <is>
          <t>Brand</t>
        </is>
      </c>
      <c r="N13" s="5" t="inlineStr">
        <is>
          <t>Tag DPO kantormu 👇</t>
        </is>
      </c>
      <c r="O13" s="5" t="inlineStr">
        <is>
          <t>—</t>
        </is>
      </c>
      <c r="P13" s="9" t="n">
        <v>9</v>
      </c>
      <c r="Q13" s="9" t="n">
        <v>9</v>
      </c>
      <c r="R13" s="9" t="n">
        <v>4</v>
      </c>
      <c r="S13" s="9" t="n">
        <v>10</v>
      </c>
      <c r="T13" s="26">
        <f>ROUND(Q13*W_AW+R13*W_CV+S13*W_SH,1)</f>
        <v/>
      </c>
      <c r="U13" s="9">
        <f>ROUND((P13+S13)/2,1)</f>
        <v/>
      </c>
      <c r="V13" s="9">
        <f>RANK(T13,$T$2:$T$49)</f>
        <v/>
      </c>
      <c r="W13" s="5" t="inlineStr">
        <is>
          <t>Rendah</t>
        </is>
      </c>
      <c r="X13" s="5" t="inlineStr">
        <is>
          <t>Rendah</t>
        </is>
      </c>
      <c r="Y13" s="5" t="inlineStr">
        <is>
          <t>Baru (kit)</t>
        </is>
      </c>
      <c r="Z13" s="5" t="inlineStr">
        <is>
          <t>Okt 2026</t>
        </is>
      </c>
      <c r="AA13" s="5">
        <f>T13+ROW()/100000</f>
        <v/>
      </c>
    </row>
    <row r="14" ht="120" customHeight="1">
      <c r="A14" s="19" t="inlineStr">
        <is>
          <t>A13</t>
        </is>
      </c>
      <c r="B14" s="21" t="inlineStr">
        <is>
          <t>DPO Starter Pack</t>
        </is>
      </c>
      <c r="C14" s="20" t="inlineStr">
        <is>
          <t>Starter pack</t>
        </is>
      </c>
      <c r="D14" s="20" t="inlineStr">
        <is>
          <t>Brand / komunitas</t>
        </is>
      </c>
      <c r="E14" s="20" t="inlineStr">
        <is>
          <t>Share</t>
        </is>
      </c>
      <c r="F14" s="20" t="inlineStr">
        <is>
          <t>DPO baru</t>
        </is>
      </c>
      <c r="G14" s="20" t="inlineStr">
        <is>
          <t>Carousel IG/LinkedIn atau video 10 dtk</t>
        </is>
      </c>
      <c r="H14" s="20" t="inlineStr">
        <is>
          <t>"DPO starter pack (edisi 2026)"</t>
        </is>
      </c>
      <c r="I14" s="19" t="inlineStr">
        <is>
          <t>Relate</t>
        </is>
      </c>
      <c r="J14" s="20" t="inlineStr">
        <is>
          <t>Item: lanyard, kopi ke-4, 7 grup chat, spreadsheet RoPA, 225 pasal PP 33, mimpi buruk jam 3 pagi → "upgrade: Privasimu Nexus"</t>
        </is>
      </c>
      <c r="K14" s="20" t="inlineStr">
        <is>
          <t>pop per item · dun dun dun</t>
        </is>
      </c>
      <c r="L14" s="20" t="inlineStr">
        <is>
          <t>—</t>
        </is>
      </c>
      <c r="M14" s="20" t="inlineStr">
        <is>
          <t>Brand</t>
        </is>
      </c>
      <c r="N14" s="20" t="inlineStr">
        <is>
          <t>Tag DPO yang butuh upgrade</t>
        </is>
      </c>
      <c r="O14" s="20" t="inlineStr">
        <is>
          <t>PP 33/2026 = 225 pasal (knowledge base)</t>
        </is>
      </c>
      <c r="P14" s="19" t="n">
        <v>9</v>
      </c>
      <c r="Q14" s="19" t="n">
        <v>8</v>
      </c>
      <c r="R14" s="19" t="n">
        <v>5</v>
      </c>
      <c r="S14" s="19" t="n">
        <v>9</v>
      </c>
      <c r="T14" s="23">
        <f>ROUND(Q14*W_AW+R14*W_CV+S14*W_SH,1)</f>
        <v/>
      </c>
      <c r="U14" s="19">
        <f>ROUND((P14+S14)/2,1)</f>
        <v/>
      </c>
      <c r="V14" s="19">
        <f>RANK(T14,$T$2:$T$49)</f>
        <v/>
      </c>
      <c r="W14" s="20" t="inlineStr">
        <is>
          <t>Rendah</t>
        </is>
      </c>
      <c r="X14" s="20" t="inlineStr">
        <is>
          <t>Rendah</t>
        </is>
      </c>
      <c r="Y14" s="20" t="inlineStr">
        <is>
          <t>Baru</t>
        </is>
      </c>
      <c r="Z14" s="20" t="inlineStr">
        <is>
          <t>Kapan saja</t>
        </is>
      </c>
      <c r="AA14" s="20">
        <f>T14+ROW()/100000</f>
        <v/>
      </c>
    </row>
    <row r="15" ht="120" customHeight="1">
      <c r="A15" s="9" t="inlineStr">
        <is>
          <t>A14</t>
        </is>
      </c>
      <c r="B15" s="11" t="inlineStr">
        <is>
          <t>Ekspektasi vs realita jadi DPO</t>
        </is>
      </c>
      <c r="C15" s="5" t="inlineStr">
        <is>
          <t>Expectation vs reality</t>
        </is>
      </c>
      <c r="D15" s="5" t="inlineStr">
        <is>
          <t>Tools</t>
        </is>
      </c>
      <c r="E15" s="5" t="inlineStr">
        <is>
          <t>Awareness</t>
        </is>
      </c>
      <c r="F15" s="5" t="inlineStr">
        <is>
          <t>DPO baru</t>
        </is>
      </c>
      <c r="G15" s="5" t="inlineStr">
        <is>
          <t>TikTok/Reels 15 dtk</t>
        </is>
      </c>
      <c r="H15" s="5" t="inlineStr">
        <is>
          <t>"Ekspektasi jadi DPO:"</t>
        </is>
      </c>
      <c r="I15" s="9" t="inlineStr">
        <is>
          <t>Relate</t>
        </is>
      </c>
      <c r="J15" s="5" t="inlineStr">
        <is>
          <t>Ekspektasi: melindungi data dengan tenang 🧘 / realita: ngejar 12 divisi isi form + "FAAAH"
→ realita dengan Nexus: alur Maker–Reviewer–Approver + pengingat</t>
        </is>
      </c>
      <c r="K15" s="5" t="inlineStr">
        <is>
          <t>"FAAAH" (rekam tim) · sad violin (synth)</t>
        </is>
      </c>
      <c r="L15" s="5" t="inlineStr">
        <is>
          <t>—</t>
        </is>
      </c>
      <c r="M15" s="5" t="inlineStr">
        <is>
          <t>Alur RoPA</t>
        </is>
      </c>
      <c r="N15" s="5" t="inlineStr">
        <is>
          <t>privasimu.com</t>
        </is>
      </c>
      <c r="O15" s="5" t="inlineStr">
        <is>
          <t>fakta_produk: ropa (Maker, Reviewer, Approver)</t>
        </is>
      </c>
      <c r="P15" s="9" t="n">
        <v>9</v>
      </c>
      <c r="Q15" s="9" t="n">
        <v>8</v>
      </c>
      <c r="R15" s="9" t="n">
        <v>6</v>
      </c>
      <c r="S15" s="9" t="n">
        <v>8</v>
      </c>
      <c r="T15" s="26">
        <f>ROUND(Q15*W_AW+R15*W_CV+S15*W_SH,1)</f>
        <v/>
      </c>
      <c r="U15" s="9">
        <f>ROUND((P15+S15)/2,1)</f>
        <v/>
      </c>
      <c r="V15" s="9">
        <f>RANK(T15,$T$2:$T$49)</f>
        <v/>
      </c>
      <c r="W15" s="5" t="inlineStr">
        <is>
          <t>Rendah</t>
        </is>
      </c>
      <c r="X15" s="5" t="inlineStr">
        <is>
          <t>Rendah</t>
        </is>
      </c>
      <c r="Y15" s="5" t="inlineStr">
        <is>
          <t>Baru (kit meme "expect")</t>
        </is>
      </c>
      <c r="Z15" s="5" t="inlineStr">
        <is>
          <t>Kapan saja</t>
        </is>
      </c>
      <c r="AA15" s="5">
        <f>T15+ROW()/100000</f>
        <v/>
      </c>
    </row>
    <row r="16" ht="120" customHeight="1">
      <c r="A16" s="19" t="inlineStr">
        <is>
          <t>A15</t>
        </is>
      </c>
      <c r="B16" s="21" t="inlineStr">
        <is>
          <t>Red flag vs green flag pihak ketiga</t>
        </is>
      </c>
      <c r="C16" s="20" t="inlineStr">
        <is>
          <t>Red flag / green flag</t>
        </is>
      </c>
      <c r="D16" s="20" t="inlineStr">
        <is>
          <t>Tools</t>
        </is>
      </c>
      <c r="E16" s="20" t="inlineStr">
        <is>
          <t>Konversi</t>
        </is>
      </c>
      <c r="F16" s="20" t="inlineStr">
        <is>
          <t>Procurement, DPO</t>
        </is>
      </c>
      <c r="G16" s="20" t="inlineStr">
        <is>
          <t>Reels/LinkedIn 15–20 dtk</t>
        </is>
      </c>
      <c r="H16" s="20" t="inlineStr">
        <is>
          <t>"Red flag pihak ketiga 🚩"</t>
        </is>
      </c>
      <c r="I16" s="19" t="inlineStr">
        <is>
          <t>Logika dipatahkan</t>
        </is>
      </c>
      <c r="J16" s="20" t="inlineStr">
        <is>
          <t>🚩 tidak mau isi asesmen · 🚩 kirim NDA bukan perjanjian pemrosesan data · ✅ isi kuesioner lewat tautan tanpa akun · ✅ skor risiko otomatis → modul Pihak Ketiga</t>
        </is>
      </c>
      <c r="K16" s="20" t="inlineStr">
        <is>
          <t>buzzer · ding</t>
        </is>
      </c>
      <c r="L16" s="20" t="inlineStr">
        <is>
          <t>—</t>
        </is>
      </c>
      <c r="M16" s="20" t="inlineStr">
        <is>
          <t>Manajemen Risiko Pihak Ketiga, Telaah Kontrak</t>
        </is>
      </c>
      <c r="N16" s="20" t="inlineStr">
        <is>
          <t>Minta demo</t>
        </is>
      </c>
      <c r="O16" s="20" t="inlineStr">
        <is>
          <t>fakta_produk: pihak ketiga (tautan tanpa akun), telaah kontrak</t>
        </is>
      </c>
      <c r="P16" s="19" t="n">
        <v>7</v>
      </c>
      <c r="Q16" s="19" t="n">
        <v>7</v>
      </c>
      <c r="R16" s="19" t="n">
        <v>7</v>
      </c>
      <c r="S16" s="19" t="n">
        <v>7</v>
      </c>
      <c r="T16" s="23">
        <f>ROUND(Q16*W_AW+R16*W_CV+S16*W_SH,1)</f>
        <v/>
      </c>
      <c r="U16" s="19">
        <f>ROUND((P16+S16)/2,1)</f>
        <v/>
      </c>
      <c r="V16" s="19">
        <f>RANK(T16,$T$2:$T$49)</f>
        <v/>
      </c>
      <c r="W16" s="20" t="inlineStr">
        <is>
          <t>Rendah</t>
        </is>
      </c>
      <c r="X16" s="20" t="inlineStr">
        <is>
          <t>Rendah. Pakai istilah "pihak ketiga", bukan "vendor"</t>
        </is>
      </c>
      <c r="Y16" s="20" t="inlineStr">
        <is>
          <t>Baru</t>
        </is>
      </c>
      <c r="Z16" s="20" t="inlineStr">
        <is>
          <t>Nov 2026</t>
        </is>
      </c>
      <c r="AA16" s="20">
        <f>T16+ROW()/100000</f>
        <v/>
      </c>
    </row>
    <row r="17" ht="120" customHeight="1">
      <c r="A17" s="9" t="inlineStr">
        <is>
          <t>A16</t>
        </is>
      </c>
      <c r="B17" s="11" t="inlineStr">
        <is>
          <t>Mannequin challenge: auditor datang</t>
        </is>
      </c>
      <c r="C17" s="5" t="inlineStr">
        <is>
          <t>Kebangkitan meme 2016 (Mannequin Challenge)</t>
        </is>
      </c>
      <c r="D17" s="5" t="inlineStr">
        <is>
          <t>Tools</t>
        </is>
      </c>
      <c r="E17" s="5" t="inlineStr">
        <is>
          <t>Awareness + Share</t>
        </is>
      </c>
      <c r="F17" s="5" t="inlineStr">
        <is>
          <t>Seluruh kantor</t>
        </is>
      </c>
      <c r="G17" s="5" t="inlineStr">
        <is>
          <t>TikTok/Reels 20 dtk</t>
        </is>
      </c>
      <c r="H17" s="5" t="inlineStr">
        <is>
          <t>Auditor: "Boleh lihat bukti persetujuan?"</t>
        </is>
      </c>
      <c r="I17" s="9" t="inlineStr">
        <is>
          <t>Anomali</t>
        </is>
      </c>
      <c r="J17" s="5" t="inlineStr">
        <is>
          <t>Semua karyawan membeku, kamera berputar; hanya DPO bergerak membuka Nexus: log persetujuan + bukti</t>
        </is>
      </c>
      <c r="K17" s="5" t="inlineStr">
        <is>
          <t>musik ala 2016 (synth orisinal) · record scratch</t>
        </is>
      </c>
      <c r="L17" s="5" t="inlineStr">
        <is>
          <t>—</t>
        </is>
      </c>
      <c r="M17" s="5" t="inlineStr">
        <is>
          <t>Consent log, log audit</t>
        </is>
      </c>
      <c r="N17" s="5" t="inlineStr">
        <is>
          <t>Kalau di kantormu, siapa yang bergerak?</t>
        </is>
      </c>
      <c r="O17" s="5" t="inlineStr">
        <is>
          <t>fakta_produk: consent</t>
        </is>
      </c>
      <c r="P17" s="9" t="n">
        <v>7</v>
      </c>
      <c r="Q17" s="9" t="n">
        <v>8</v>
      </c>
      <c r="R17" s="9" t="n">
        <v>6</v>
      </c>
      <c r="S17" s="9" t="n">
        <v>8</v>
      </c>
      <c r="T17" s="26">
        <f>ROUND(Q17*W_AW+R17*W_CV+S17*W_SH,1)</f>
        <v/>
      </c>
      <c r="U17" s="9">
        <f>ROUND((P17+S17)/2,1)</f>
        <v/>
      </c>
      <c r="V17" s="9">
        <f>RANK(T17,$T$2:$T$49)</f>
        <v/>
      </c>
      <c r="W17" s="5" t="inlineStr">
        <is>
          <t>Sedang (live-action tim/animasi)</t>
        </is>
      </c>
      <c r="X17" s="5" t="inlineStr">
        <is>
          <t>Rendah. Karyawan yang tampil wajib memberi persetujuan tertulis</t>
        </is>
      </c>
      <c r="Y17" s="5" t="inlineStr">
        <is>
          <t>Baru</t>
        </is>
      </c>
      <c r="Z17" s="5" t="inlineStr">
        <is>
          <t>Okt–Nov 2026</t>
        </is>
      </c>
      <c r="AA17" s="5">
        <f>T17+ROW()/100000</f>
        <v/>
      </c>
    </row>
    <row r="18" ht="120" customHeight="1">
      <c r="A18" s="19" t="inlineStr">
        <is>
          <t>A17</t>
        </is>
      </c>
      <c r="B18" s="21" t="inlineStr">
        <is>
          <t>2016 vs 2026: DPO edition</t>
        </is>
      </c>
      <c r="C18" s="20" t="inlineStr">
        <is>
          <t>"2026 is the new 2016"</t>
        </is>
      </c>
      <c r="D18" s="20" t="inlineStr">
        <is>
          <t>Brand</t>
        </is>
      </c>
      <c r="E18" s="20" t="inlineStr">
        <is>
          <t>Awareness + Share</t>
        </is>
      </c>
      <c r="F18" s="20" t="inlineStr">
        <is>
          <t>Pekerja 25–40 th</t>
        </is>
      </c>
      <c r="G18" s="20" t="inlineStr">
        <is>
          <t>TikTok/Reels 15 dtk</t>
        </is>
      </c>
      <c r="H18" s="20" t="inlineStr">
        <is>
          <t>"2016: data pelanggan disimpan di flashdisk"</t>
        </is>
      </c>
      <c r="I18" s="19" t="inlineStr">
        <is>
          <t>Anomali</t>
        </is>
      </c>
      <c r="J18" s="20" t="inlineStr">
        <is>
          <t>2016 (filter jadul): flashdisk, spreadsheet, password di sticky note
→ 2026: Nexus, log audit berantai hash, DSR 72 jam → "yang balik ke 2016 cukup memenya"</t>
        </is>
      </c>
      <c r="K18" s="20" t="inlineStr">
        <is>
          <t>rewind VHS · shutter</t>
        </is>
      </c>
      <c r="L18" s="20" t="inlineStr">
        <is>
          <t>Narasi 2016: efek "telepon"</t>
        </is>
      </c>
      <c r="M18" s="20" t="inlineStr">
        <is>
          <t>Platform</t>
        </is>
      </c>
      <c r="N18" s="20" t="inlineStr">
        <is>
          <t>privasimu.com</t>
        </is>
      </c>
      <c r="O18" s="20" t="inlineStr">
        <is>
          <t>fakta_produk: platform (log audit hash opsional)</t>
        </is>
      </c>
      <c r="P18" s="19" t="n">
        <v>7</v>
      </c>
      <c r="Q18" s="19" t="n">
        <v>8</v>
      </c>
      <c r="R18" s="19" t="n">
        <v>5</v>
      </c>
      <c r="S18" s="19" t="n">
        <v>8</v>
      </c>
      <c r="T18" s="23">
        <f>ROUND(Q18*W_AW+R18*W_CV+S18*W_SH,1)</f>
        <v/>
      </c>
      <c r="U18" s="19">
        <f>ROUND((P18+S18)/2,1)</f>
        <v/>
      </c>
      <c r="V18" s="19">
        <f>RANK(T18,$T$2:$T$49)</f>
        <v/>
      </c>
      <c r="W18" s="20" t="inlineStr">
        <is>
          <t>Rendah</t>
        </is>
      </c>
      <c r="X18" s="20" t="inlineStr">
        <is>
          <t>Rendah</t>
        </is>
      </c>
      <c r="Y18" s="20" t="inlineStr">
        <is>
          <t>Baru</t>
        </is>
      </c>
      <c r="Z18" s="20" t="inlineStr">
        <is>
          <t>Okt 2026</t>
        </is>
      </c>
      <c r="AA18" s="20">
        <f>T18+ROW()/100000</f>
        <v/>
      </c>
    </row>
    <row r="19" ht="120" customHeight="1">
      <c r="A19" s="9" t="inlineStr">
        <is>
          <t>A18</t>
        </is>
      </c>
      <c r="B19" s="11" t="inlineStr">
        <is>
          <t>Anomali: "Bocorino Datalino"</t>
        </is>
      </c>
      <c r="C19" s="5" t="inlineStr">
        <is>
          <t>Brainrot/anomali (canon 2026), karakter orisinal</t>
        </is>
      </c>
      <c r="D19" s="5" t="inlineStr">
        <is>
          <t>Brand</t>
        </is>
      </c>
      <c r="E19" s="5" t="inlineStr">
        <is>
          <t>Awareness (Gen Z)</t>
        </is>
      </c>
      <c r="F19" s="5" t="inlineStr">
        <is>
          <t>Gen Z pekerja, mahasiswa hukum/IT</t>
        </is>
      </c>
      <c r="G19" s="5" t="inlineStr">
        <is>
          <t>TikTok 15 dtk</t>
        </is>
      </c>
      <c r="H19" s="5" t="inlineStr">
        <is>
          <t>"Bocorino Datalino… anomali yang membocorkan data tiap Senin"</t>
        </is>
      </c>
      <c r="I19" s="9" t="inlineStr">
        <is>
          <t>Anomali</t>
        </is>
      </c>
      <c r="J19" s="5" t="inlineStr">
        <is>
          <t>Karakter orisinal (keran bocor berkaki) dinarasikan ala brainrot → dikalahkan maskot Nexus → tagline</t>
        </is>
      </c>
      <c r="K19" s="5" t="inlineStr">
        <is>
          <t>narator dramatis · dun dun dun</t>
        </is>
      </c>
      <c r="L19" s="5" t="inlineStr">
        <is>
          <t>Narator "berat" + "aula"</t>
        </is>
      </c>
      <c r="M19" s="5" t="inlineStr">
        <is>
          <t>Brand</t>
        </is>
      </c>
      <c r="N19" s="5" t="inlineStr">
        <is>
          <t>Sebutkan anomali versi kantormu</t>
        </is>
      </c>
      <c r="O19" s="5" t="inlineStr">
        <is>
          <t>—</t>
        </is>
      </c>
      <c r="P19" s="9" t="n">
        <v>6</v>
      </c>
      <c r="Q19" s="9" t="n">
        <v>9</v>
      </c>
      <c r="R19" s="9" t="n">
        <v>4</v>
      </c>
      <c r="S19" s="9" t="n">
        <v>8</v>
      </c>
      <c r="T19" s="26">
        <f>ROUND(Q19*W_AW+R19*W_CV+S19*W_SH,1)</f>
        <v/>
      </c>
      <c r="U19" s="9">
        <f>ROUND((P19+S19)/2,1)</f>
        <v/>
      </c>
      <c r="V19" s="9">
        <f>RANK(T19,$T$2:$T$49)</f>
        <v/>
      </c>
      <c r="W19" s="5" t="inlineStr">
        <is>
          <t>Sedang (ilustrasi karakter)</t>
        </is>
      </c>
      <c r="X19" s="5" t="inlineStr">
        <is>
          <t>Sedang. Bisa terasa cringe; uji kecil dulu</t>
        </is>
      </c>
      <c r="Y19" s="5" t="inlineStr">
        <is>
          <t>Baru</t>
        </is>
      </c>
      <c r="Z19" s="5" t="inlineStr">
        <is>
          <t>Okt 2026</t>
        </is>
      </c>
      <c r="AA19" s="5">
        <f>T19+ROW()/100000</f>
        <v/>
      </c>
    </row>
    <row r="20" ht="120" customHeight="1">
      <c r="A20" s="19" t="inlineStr">
        <is>
          <t>A19</t>
        </is>
      </c>
      <c r="B20" s="21" t="inlineStr">
        <is>
          <t>Rating kebiasaan data kantor 1–10</t>
        </is>
      </c>
      <c r="C20" s="20" t="inlineStr">
        <is>
          <t>Format rating</t>
        </is>
      </c>
      <c r="D20" s="20" t="inlineStr">
        <is>
          <t>Edukasi</t>
        </is>
      </c>
      <c r="E20" s="20" t="inlineStr">
        <is>
          <t>Awareness + Share</t>
        </is>
      </c>
      <c r="F20" s="20" t="inlineStr">
        <is>
          <t>Karyawan umum</t>
        </is>
      </c>
      <c r="G20" s="20" t="inlineStr">
        <is>
          <t>TikTok/Reels 20 dtk</t>
        </is>
      </c>
      <c r="H20" s="20" t="inlineStr">
        <is>
          <t>"Rating kebiasaan data di kantor, jujur:"</t>
        </is>
      </c>
      <c r="I20" s="19" t="inlineStr">
        <is>
          <t>Relate</t>
        </is>
      </c>
      <c r="J20" s="20" t="inlineStr">
        <is>
          <t>Password di sticky note 1/10 "FAAAH" · kirim KTP via grup 2/10 · RoPA terpusat 10/10 (Nexus)</t>
        </is>
      </c>
      <c r="K20" s="20" t="inlineStr">
        <is>
          <t>"FAAAH" (rekam tim) · ding</t>
        </is>
      </c>
      <c r="L20" s="20" t="inlineStr">
        <is>
          <t>—</t>
        </is>
      </c>
      <c r="M20" s="20" t="inlineStr">
        <is>
          <t>RoPA, pelatihan</t>
        </is>
      </c>
      <c r="N20" s="20" t="inlineStr">
        <is>
          <t>Kantormu dapat skor berapa?</t>
        </is>
      </c>
      <c r="O20" s="20" t="inlineStr">
        <is>
          <t>—</t>
        </is>
      </c>
      <c r="P20" s="19" t="n">
        <v>8</v>
      </c>
      <c r="Q20" s="19" t="n">
        <v>7</v>
      </c>
      <c r="R20" s="19" t="n">
        <v>6</v>
      </c>
      <c r="S20" s="19" t="n">
        <v>8</v>
      </c>
      <c r="T20" s="23">
        <f>ROUND(Q20*W_AW+R20*W_CV+S20*W_SH,1)</f>
        <v/>
      </c>
      <c r="U20" s="19">
        <f>ROUND((P20+S20)/2,1)</f>
        <v/>
      </c>
      <c r="V20" s="19">
        <f>RANK(T20,$T$2:$T$49)</f>
        <v/>
      </c>
      <c r="W20" s="20" t="inlineStr">
        <is>
          <t>Rendah</t>
        </is>
      </c>
      <c r="X20" s="20" t="inlineStr">
        <is>
          <t>Rendah</t>
        </is>
      </c>
      <c r="Y20" s="20" t="inlineStr">
        <is>
          <t>Baru</t>
        </is>
      </c>
      <c r="Z20" s="20" t="inlineStr">
        <is>
          <t>Kapan saja</t>
        </is>
      </c>
      <c r="AA20" s="20">
        <f>T20+ROW()/100000</f>
        <v/>
      </c>
    </row>
    <row r="21" ht="120" customHeight="1">
      <c r="A21" s="9" t="inlineStr">
        <is>
          <t>A20</t>
        </is>
      </c>
      <c r="B21" s="11" t="inlineStr">
        <is>
          <t>GRWM: DPO siap-siap audit</t>
        </is>
      </c>
      <c r="C21" s="5" t="inlineStr">
        <is>
          <t>Get Ready With Me</t>
        </is>
      </c>
      <c r="D21" s="5" t="inlineStr">
        <is>
          <t>Tools</t>
        </is>
      </c>
      <c r="E21" s="5" t="inlineStr">
        <is>
          <t>Awareness</t>
        </is>
      </c>
      <c r="F21" s="5" t="inlineStr">
        <is>
          <t>DPO muda</t>
        </is>
      </c>
      <c r="G21" s="5" t="inlineStr">
        <is>
          <t>TikTok/Reels 20–30 dtk</t>
        </is>
      </c>
      <c r="H21" s="5" t="inlineStr">
        <is>
          <t>"Get ready with me: hari audit"</t>
        </is>
      </c>
      <c r="I21" s="9" t="inlineStr">
        <is>
          <t>Anomali</t>
        </is>
      </c>
      <c r="J21" s="5" t="inlineStr">
        <is>
          <t>"Skincare" = cek dasbor kepatuhan · "outfit" = laporan GAP · "aksesori" = log audit berantai hash · "parfum" = tenang</t>
        </is>
      </c>
      <c r="K21" s="5" t="inlineStr">
        <is>
          <t>ASMR klik · lo-fi</t>
        </is>
      </c>
      <c r="L21" s="5" t="inlineStr">
        <is>
          <t>Efek "bisik" (ASMR)</t>
        </is>
      </c>
      <c r="M21" s="5" t="inlineStr">
        <is>
          <t>Dasbor, GAP, log audit</t>
        </is>
      </c>
      <c r="N21" s="5" t="inlineStr">
        <is>
          <t>privasimu.com</t>
        </is>
      </c>
      <c r="O21" s="5" t="inlineStr">
        <is>
          <t>fakta_produk: platform</t>
        </is>
      </c>
      <c r="P21" s="9" t="n">
        <v>7</v>
      </c>
      <c r="Q21" s="9" t="n">
        <v>8</v>
      </c>
      <c r="R21" s="9" t="n">
        <v>7</v>
      </c>
      <c r="S21" s="9" t="n">
        <v>7</v>
      </c>
      <c r="T21" s="26">
        <f>ROUND(Q21*W_AW+R21*W_CV+S21*W_SH,1)</f>
        <v/>
      </c>
      <c r="U21" s="9">
        <f>ROUND((P21+S21)/2,1)</f>
        <v/>
      </c>
      <c r="V21" s="9">
        <f>RANK(T21,$T$2:$T$49)</f>
        <v/>
      </c>
      <c r="W21" s="5" t="inlineStr">
        <is>
          <t>Sedang</t>
        </is>
      </c>
      <c r="X21" s="5" t="inlineStr">
        <is>
          <t>Rendah</t>
        </is>
      </c>
      <c r="Y21" s="5" t="inlineStr">
        <is>
          <t>Baru</t>
        </is>
      </c>
      <c r="Z21" s="5" t="inlineStr">
        <is>
          <t>Nov 2026</t>
        </is>
      </c>
      <c r="AA21" s="5">
        <f>T21+ROW()/100000</f>
        <v/>
      </c>
    </row>
    <row r="22" ht="120" customHeight="1">
      <c r="A22" s="19" t="inlineStr">
        <is>
          <t>A21</t>
        </is>
      </c>
      <c r="B22" s="21" t="inlineStr">
        <is>
          <t>Day in the life of a DPO (versi jujur)</t>
        </is>
      </c>
      <c r="C22" s="20" t="inlineStr">
        <is>
          <t>Day in the life</t>
        </is>
      </c>
      <c r="D22" s="20" t="inlineStr">
        <is>
          <t>Tools</t>
        </is>
      </c>
      <c r="E22" s="20" t="inlineStr">
        <is>
          <t>Awareness → Konversi</t>
        </is>
      </c>
      <c r="F22" s="20" t="inlineStr">
        <is>
          <t>DPO</t>
        </is>
      </c>
      <c r="G22" s="20" t="inlineStr">
        <is>
          <t>TikTok/Reels/Shorts 30 dtk</t>
        </is>
      </c>
      <c r="H22" s="20" t="inlineStr">
        <is>
          <t>"Day in the life of a DPO (versi jujur)"</t>
        </is>
      </c>
      <c r="I22" s="19" t="inlineStr">
        <is>
          <t>Relate</t>
        </is>
      </c>
      <c r="J22" s="20" t="inlineStr">
        <is>
          <t>07.00 12 notif DSR · 09.00 rapat "data pribadi itu apa" · 13.00 pihak ketiga kirim NDA · 03.00 dugaan insiden "FAAAH"
→ versi Nexus: semua di satu antrean kerja</t>
        </is>
      </c>
      <c r="K22" s="20" t="inlineStr">
        <is>
          <t>"FAAAH" (rekam tim) · detak jam · notifikasi</t>
        </is>
      </c>
      <c r="L22" s="20" t="inlineStr">
        <is>
          <t>—</t>
        </is>
      </c>
      <c r="M22" s="20" t="inlineStr">
        <is>
          <t>Antrean kerja PPDP, DSR, insiden</t>
        </is>
      </c>
      <c r="N22" s="20" t="inlineStr">
        <is>
          <t>Minta demo</t>
        </is>
      </c>
      <c r="O22" s="20" t="inlineStr">
        <is>
          <t>fakta_produk: dukungan PPDP (antrean pekerjaan)</t>
        </is>
      </c>
      <c r="P22" s="19" t="n">
        <v>9</v>
      </c>
      <c r="Q22" s="19" t="n">
        <v>8</v>
      </c>
      <c r="R22" s="19" t="n">
        <v>7</v>
      </c>
      <c r="S22" s="19" t="n">
        <v>8</v>
      </c>
      <c r="T22" s="23">
        <f>ROUND(Q22*W_AW+R22*W_CV+S22*W_SH,1)</f>
        <v/>
      </c>
      <c r="U22" s="19">
        <f>ROUND((P22+S22)/2,1)</f>
        <v/>
      </c>
      <c r="V22" s="19">
        <f>RANK(T22,$T$2:$T$49)</f>
        <v/>
      </c>
      <c r="W22" s="20" t="inlineStr">
        <is>
          <t>Sedang</t>
        </is>
      </c>
      <c r="X22" s="20" t="inlineStr">
        <is>
          <t>Rendah</t>
        </is>
      </c>
      <c r="Y22" s="20" t="inlineStr">
        <is>
          <t>Baru</t>
        </is>
      </c>
      <c r="Z22" s="20" t="inlineStr">
        <is>
          <t>Okt–Nov 2026</t>
        </is>
      </c>
      <c r="AA22" s="20">
        <f>T22+ROW()/100000</f>
        <v/>
      </c>
    </row>
    <row r="23" ht="120" customHeight="1">
      <c r="A23" s="9" t="inlineStr">
        <is>
          <t>A22</t>
        </is>
      </c>
      <c r="B23" s="11" t="inlineStr">
        <is>
          <t>Rekap Tahunan DPO 2026</t>
        </is>
      </c>
      <c r="C23" s="5" t="inlineStr">
        <is>
          <t>Year-in-review Desember (ala "Wrapped", tanpa meniru merek)</t>
        </is>
      </c>
      <c r="D23" s="5" t="inlineStr">
        <is>
          <t>Brand</t>
        </is>
      </c>
      <c r="E23" s="5" t="inlineStr">
        <is>
          <t>Share</t>
        </is>
      </c>
      <c r="F23" s="5" t="inlineStr">
        <is>
          <t>DPO, legal</t>
        </is>
      </c>
      <c r="G23" s="5" t="inlineStr">
        <is>
          <t>IG/TikTok slide 15–20 dtk</t>
        </is>
      </c>
      <c r="H23" s="5" t="inlineStr">
        <is>
          <t>"Rekap tahunan DPO 2026 kamu sudah siap"</t>
        </is>
      </c>
      <c r="I23" s="9" t="inlineStr">
        <is>
          <t>Relate</t>
        </is>
      </c>
      <c r="J23" s="5" t="inlineStr">
        <is>
          <t>Top "lagu": "Tolong isi form-nya" · menit di rapat: 12.480 · file favorit: FINAL_final_v3 · 2027: PP 33 berlaku → "bikin rekap 2027 lebih rapi"</t>
        </is>
      </c>
      <c r="K23" s="5" t="inlineStr">
        <is>
          <t>shimmer · pop</t>
        </is>
      </c>
      <c r="L23" s="5" t="inlineStr">
        <is>
          <t>—</t>
        </is>
      </c>
      <c r="M23" s="5" t="inlineStr">
        <is>
          <t>Brand + PP 33</t>
        </is>
      </c>
      <c r="N23" s="5" t="inlineStr">
        <is>
          <t>Bagikan rekapmu</t>
        </is>
      </c>
      <c r="O23" s="5" t="inlineStr">
        <is>
          <t>PP 33/2026 berlaku 16 Jan 2027 (angka lain ilustrasi)</t>
        </is>
      </c>
      <c r="P23" s="9" t="n">
        <v>9</v>
      </c>
      <c r="Q23" s="9" t="n">
        <v>9</v>
      </c>
      <c r="R23" s="9" t="n">
        <v>6</v>
      </c>
      <c r="S23" s="9" t="n">
        <v>10</v>
      </c>
      <c r="T23" s="26">
        <f>ROUND(Q23*W_AW+R23*W_CV+S23*W_SH,1)</f>
        <v/>
      </c>
      <c r="U23" s="9">
        <f>ROUND((P23+S23)/2,1)</f>
        <v/>
      </c>
      <c r="V23" s="9">
        <f>RANK(T23,$T$2:$T$49)</f>
        <v/>
      </c>
      <c r="W23" s="5" t="inlineStr">
        <is>
          <t>Rendah</t>
        </is>
      </c>
      <c r="X23" s="5" t="inlineStr">
        <is>
          <t>Sedang. Jangan tiru warna/font/logo layanan musik tertentu</t>
        </is>
      </c>
      <c r="Y23" s="5" t="inlineStr">
        <is>
          <t>Baru</t>
        </is>
      </c>
      <c r="Z23" s="5" t="inlineStr">
        <is>
          <t>Des 2026 (minggu 1–3)</t>
        </is>
      </c>
      <c r="AA23" s="5">
        <f>T23+ROW()/100000</f>
        <v/>
      </c>
    </row>
    <row r="24" ht="120" customHeight="1">
      <c r="A24" s="19" t="inlineStr">
        <is>
          <t>A23</t>
        </is>
      </c>
      <c r="B24" s="21" t="inlineStr">
        <is>
          <t>Hitung mundur PP 33 (serial)</t>
        </is>
      </c>
      <c r="C24" s="20" t="inlineStr">
        <is>
          <t>Countdown serial</t>
        </is>
      </c>
      <c r="D24" s="20" t="inlineStr">
        <is>
          <t>Tools / Konsultasi</t>
        </is>
      </c>
      <c r="E24" s="20" t="inlineStr">
        <is>
          <t>Konversi</t>
        </is>
      </c>
      <c r="F24" s="20" t="inlineStr">
        <is>
          <t>Direksi, DPO</t>
        </is>
      </c>
      <c r="G24" s="20" t="inlineStr">
        <is>
          <t>Stories/Reels 10 dtk per episode</t>
        </is>
      </c>
      <c r="H24" s="20" t="inlineStr">
        <is>
          <t>"X hari lagi PP 33 berlaku"</t>
        </is>
      </c>
      <c r="I24" s="19" t="inlineStr">
        <is>
          <t>Anomali</t>
        </is>
      </c>
      <c r="J24" s="20" t="inlineStr">
        <is>
          <t>Tiap episode: 1 meme + 1 kewajiban + CTA</t>
        </is>
      </c>
      <c r="K24" s="20" t="inlineStr">
        <is>
          <t>flip clock</t>
        </is>
      </c>
      <c r="L24" s="20" t="inlineStr">
        <is>
          <t>—</t>
        </is>
      </c>
      <c r="M24" s="20" t="inlineStr">
        <is>
          <t>Paparan Sanksi, GAP</t>
        </is>
      </c>
      <c r="N24" s="20" t="inlineStr">
        <is>
          <t>Program siap PP 33</t>
        </is>
      </c>
      <c r="O24" s="20" t="inlineStr">
        <is>
          <t>PP 33/2026 berlaku 16 Jan 2027; 225 pasal</t>
        </is>
      </c>
      <c r="P24" s="19" t="n">
        <v>7</v>
      </c>
      <c r="Q24" s="19" t="n">
        <v>7</v>
      </c>
      <c r="R24" s="19" t="n">
        <v>8</v>
      </c>
      <c r="S24" s="19" t="n">
        <v>6</v>
      </c>
      <c r="T24" s="23">
        <f>ROUND(Q24*W_AW+R24*W_CV+S24*W_SH,1)</f>
        <v/>
      </c>
      <c r="U24" s="19">
        <f>ROUND((P24+S24)/2,1)</f>
        <v/>
      </c>
      <c r="V24" s="19">
        <f>RANK(T24,$T$2:$T$49)</f>
        <v/>
      </c>
      <c r="W24" s="20" t="inlineStr">
        <is>
          <t>Rendah</t>
        </is>
      </c>
      <c r="X24" s="20" t="inlineStr">
        <is>
          <t>Rendah</t>
        </is>
      </c>
      <c r="Y24" s="20" t="inlineStr">
        <is>
          <t>Bisa dari N01</t>
        </is>
      </c>
      <c r="Z24" s="20" t="inlineStr">
        <is>
          <t>Des 2026–Jan 2027</t>
        </is>
      </c>
      <c r="AA24" s="20">
        <f>T24+ROW()/100000</f>
        <v/>
      </c>
    </row>
    <row r="25" ht="120" customHeight="1">
      <c r="A25" s="9" t="inlineStr">
        <is>
          <t>A24</t>
        </is>
      </c>
      <c r="B25" s="11" t="inlineStr">
        <is>
          <t>Resolusi 2027: patuh PP 33</t>
        </is>
      </c>
      <c r="C25" s="5" t="inlineStr">
        <is>
          <t>New year resolution</t>
        </is>
      </c>
      <c r="D25" s="5" t="inlineStr">
        <is>
          <t>Tools</t>
        </is>
      </c>
      <c r="E25" s="5" t="inlineStr">
        <is>
          <t>Awareness + Konversi</t>
        </is>
      </c>
      <c r="F25" s="5" t="inlineStr">
        <is>
          <t>Semua</t>
        </is>
      </c>
      <c r="G25" s="5" t="inlineStr">
        <is>
          <t>TikTok/Reels 15 dtk</t>
        </is>
      </c>
      <c r="H25" s="5" t="inlineStr">
        <is>
          <t>"Resolusi 2027:"</t>
        </is>
      </c>
      <c r="I25" s="9" t="inlineStr">
        <is>
          <t>Logika dipatahkan</t>
        </is>
      </c>
      <c r="J25" s="5" t="inlineStr">
        <is>
          <t>1. diet ❌ ("FAAAH") 2. nabung ❌ 3. patuh PP 33 ✅ (yang ini wajib, mulai 16 Januari)</t>
        </is>
      </c>
      <c r="K25" s="5" t="inlineStr">
        <is>
          <t>"FAAAH" ×2 (rekam tim) · ding benar</t>
        </is>
      </c>
      <c r="L25" s="5" t="inlineStr">
        <is>
          <t>—</t>
        </is>
      </c>
      <c r="M25" s="5" t="inlineStr">
        <is>
          <t>GAP, program siap PP 33</t>
        </is>
      </c>
      <c r="N25" s="5" t="inlineStr">
        <is>
          <t>Mulai dari Start Pre Check (gratis)</t>
        </is>
      </c>
      <c r="O25" s="5" t="inlineStr">
        <is>
          <t>PP 33/2026 berlaku 16 Jan 2027</t>
        </is>
      </c>
      <c r="P25" s="9" t="n">
        <v>8</v>
      </c>
      <c r="Q25" s="9" t="n">
        <v>8</v>
      </c>
      <c r="R25" s="9" t="n">
        <v>7</v>
      </c>
      <c r="S25" s="9" t="n">
        <v>8</v>
      </c>
      <c r="T25" s="26">
        <f>ROUND(Q25*W_AW+R25*W_CV+S25*W_SH,1)</f>
        <v/>
      </c>
      <c r="U25" s="9">
        <f>ROUND((P25+S25)/2,1)</f>
        <v/>
      </c>
      <c r="V25" s="9">
        <f>RANK(T25,$T$2:$T$49)</f>
        <v/>
      </c>
      <c r="W25" s="5" t="inlineStr">
        <is>
          <t>Rendah</t>
        </is>
      </c>
      <c r="X25" s="5" t="inlineStr">
        <is>
          <t>Rendah</t>
        </is>
      </c>
      <c r="Y25" s="5" t="inlineStr">
        <is>
          <t>Baru</t>
        </is>
      </c>
      <c r="Z25" s="5" t="inlineStr">
        <is>
          <t>26 Des 2026–10 Jan 2027</t>
        </is>
      </c>
      <c r="AA25" s="5">
        <f>T25+ROW()/100000</f>
        <v/>
      </c>
    </row>
    <row r="26" ht="120" customHeight="1">
      <c r="A26" s="19" t="inlineStr">
        <is>
          <t>A25</t>
        </is>
      </c>
      <c r="B26" s="21" t="inlineStr">
        <is>
          <t>12.12: diskon 90%, data pelanggan ikut "diskon"?</t>
        </is>
      </c>
      <c r="C26" s="20" t="inlineStr">
        <is>
          <t>Momen Harbolnas</t>
        </is>
      </c>
      <c r="D26" s="20" t="inlineStr">
        <is>
          <t>Tools</t>
        </is>
      </c>
      <c r="E26" s="20" t="inlineStr">
        <is>
          <t>Awareness</t>
        </is>
      </c>
      <c r="F26" s="20" t="inlineStr">
        <is>
          <t>E-commerce, ritel</t>
        </is>
      </c>
      <c r="G26" s="20" t="inlineStr">
        <is>
          <t>TikTok/Reels 15 dtk</t>
        </is>
      </c>
      <c r="H26" s="20" t="inlineStr">
        <is>
          <t>"Saat trafik 12.12 naik 10×…"</t>
        </is>
      </c>
      <c r="I26" s="19" t="inlineStr">
        <is>
          <t>Anomali</t>
        </is>
      </c>
      <c r="J26" s="20" t="inlineStr">
        <is>
          <t>Dun dun dun: dugaan kebocoran → Nexus: latihan fire drill sebelum 12.12 + modul insiden</t>
        </is>
      </c>
      <c r="K26" s="20" t="inlineStr">
        <is>
          <t>dun dun dun · alarm</t>
        </is>
      </c>
      <c r="L26" s="20" t="inlineStr">
        <is>
          <t>—</t>
        </is>
      </c>
      <c r="M26" s="20" t="inlineStr">
        <is>
          <t>Simulasi &amp; Fire Drill, Insiden</t>
        </is>
      </c>
      <c r="N26" s="20" t="inlineStr">
        <is>
          <t>Latihan dulu sebelum 12.12</t>
        </is>
      </c>
      <c r="O26" s="20" t="inlineStr">
        <is>
          <t>fakta_produk: simulasi &amp; fire drill</t>
        </is>
      </c>
      <c r="P26" s="19" t="n">
        <v>7</v>
      </c>
      <c r="Q26" s="19" t="n">
        <v>8</v>
      </c>
      <c r="R26" s="19" t="n">
        <v>7</v>
      </c>
      <c r="S26" s="19" t="n">
        <v>7</v>
      </c>
      <c r="T26" s="23">
        <f>ROUND(Q26*W_AW+R26*W_CV+S26*W_SH,1)</f>
        <v/>
      </c>
      <c r="U26" s="19">
        <f>ROUND((P26+S26)/2,1)</f>
        <v/>
      </c>
      <c r="V26" s="19">
        <f>RANK(T26,$T$2:$T$49)</f>
        <v/>
      </c>
      <c r="W26" s="20" t="inlineStr">
        <is>
          <t>Rendah</t>
        </is>
      </c>
      <c r="X26" s="20" t="inlineStr">
        <is>
          <t>Sedang. Jangan sebut marketplace tertentu</t>
        </is>
      </c>
      <c r="Y26" s="20" t="inlineStr">
        <is>
          <t>Baru</t>
        </is>
      </c>
      <c r="Z26" s="20" t="inlineStr">
        <is>
          <t>25 Nov–12 Des 2026</t>
        </is>
      </c>
      <c r="AA26" s="20">
        <f>T26+ROW()/100000</f>
        <v/>
      </c>
    </row>
    <row r="27" ht="120" customHeight="1">
      <c r="A27" s="9" t="inlineStr">
        <is>
          <t>A26</t>
        </is>
      </c>
      <c r="B27" s="11" t="inlineStr">
        <is>
          <t>Rapat direksi: "OH MY GOD, 2%?"</t>
        </is>
      </c>
      <c r="C27" s="5" t="inlineStr">
        <is>
          <t>Reaksi kaget</t>
        </is>
      </c>
      <c r="D27" s="5" t="inlineStr">
        <is>
          <t>Konsultasi</t>
        </is>
      </c>
      <c r="E27" s="5" t="inlineStr">
        <is>
          <t>Konversi</t>
        </is>
      </c>
      <c r="F27" s="5" t="inlineStr">
        <is>
          <t>Direksi, CFO</t>
        </is>
      </c>
      <c r="G27" s="5" t="inlineStr">
        <is>
          <t>LinkedIn/Reels 15 dtk</t>
        </is>
      </c>
      <c r="H27" s="5" t="inlineStr">
        <is>
          <t>"Direksi saat tahu dendanya bisa sampai 2% pendapatan tahunan"</t>
        </is>
      </c>
      <c r="I27" s="9" t="inlineStr">
        <is>
          <t>Relate</t>
        </is>
      </c>
      <c r="J27" s="5" t="inlineStr">
        <is>
          <t>Reaksi "OH MY GOD" → konsultan Privasimu: pendampingan program siap PP 33</t>
        </is>
      </c>
      <c r="K27" s="5" t="inlineStr">
        <is>
          <t>"OH MY GOD" (rekam tim) · dun dun dun</t>
        </is>
      </c>
      <c r="L27" s="5" t="inlineStr">
        <is>
          <t>—</t>
        </is>
      </c>
      <c r="M27" s="5" t="inlineStr">
        <is>
          <t>Konsultasi + Paparan Sanksi</t>
        </is>
      </c>
      <c r="N27" s="5" t="inlineStr">
        <is>
          <t>Konsultasi (cek penawaran gratis masih berlaku)</t>
        </is>
      </c>
      <c r="O27" s="5" t="inlineStr">
        <is>
          <t>UU PDP Ps. 57</t>
        </is>
      </c>
      <c r="P27" s="9" t="n">
        <v>7</v>
      </c>
      <c r="Q27" s="9" t="n">
        <v>7</v>
      </c>
      <c r="R27" s="9" t="n">
        <v>9</v>
      </c>
      <c r="S27" s="9" t="n">
        <v>6</v>
      </c>
      <c r="T27" s="26">
        <f>ROUND(Q27*W_AW+R27*W_CV+S27*W_SH,1)</f>
        <v/>
      </c>
      <c r="U27" s="9">
        <f>ROUND((P27+S27)/2,1)</f>
        <v/>
      </c>
      <c r="V27" s="9">
        <f>RANK(T27,$T$2:$T$49)</f>
        <v/>
      </c>
      <c r="W27" s="5" t="inlineStr">
        <is>
          <t>Rendah</t>
        </is>
      </c>
      <c r="X27" s="5" t="inlineStr">
        <is>
          <t>Rendah</t>
        </is>
      </c>
      <c r="Y27" s="5" t="inlineStr">
        <is>
          <t>Bisa dari N08</t>
        </is>
      </c>
      <c r="Z27" s="5" t="inlineStr">
        <is>
          <t>Nov 2026</t>
        </is>
      </c>
      <c r="AA27" s="5">
        <f>T27+ROW()/100000</f>
        <v/>
      </c>
    </row>
    <row r="28" ht="120" customHeight="1">
      <c r="A28" s="19" t="inlineStr">
        <is>
          <t>A27</t>
        </is>
      </c>
      <c r="B28" s="21" t="inlineStr">
        <is>
          <t>Anggaran 2027: pos PDP = Rp0?</t>
        </is>
      </c>
      <c r="C28" s="20" t="inlineStr">
        <is>
          <t>POV rapat anggaran</t>
        </is>
      </c>
      <c r="D28" s="20" t="inlineStr">
        <is>
          <t>Konsultasi + Tools</t>
        </is>
      </c>
      <c r="E28" s="20" t="inlineStr">
        <is>
          <t>Konversi</t>
        </is>
      </c>
      <c r="F28" s="20" t="inlineStr">
        <is>
          <t>CFO, DPO, direksi</t>
        </is>
      </c>
      <c r="G28" s="20" t="inlineStr">
        <is>
          <t>LinkedIn/Reels 15 dtk</t>
        </is>
      </c>
      <c r="H28" s="20" t="inlineStr">
        <is>
          <t>"POV: rapat anggaran 2027, pos kepatuhan PDP: Rp0"</t>
        </is>
      </c>
      <c r="I28" s="19" t="inlineStr">
        <is>
          <t>Relate</t>
        </is>
      </c>
      <c r="J28" s="20" t="inlineStr">
        <is>
          <t>"FAAAH" → "PP 33 berlaku 16 Jan 2027" → "masukkan ke anggaran: demo &amp; penawaran"</t>
        </is>
      </c>
      <c r="K28" s="20" t="inlineStr">
        <is>
          <t>"FAAAH" (rekam tim) · coin</t>
        </is>
      </c>
      <c r="L28" s="20" t="inlineStr">
        <is>
          <t>—</t>
        </is>
      </c>
      <c r="M28" s="20" t="inlineStr">
        <is>
          <t>Platform + konsultasi</t>
        </is>
      </c>
      <c r="N28" s="20" t="inlineStr">
        <is>
          <t>Minta penawaran sebelum anggaran dikunci</t>
        </is>
      </c>
      <c r="O28" s="20" t="inlineStr">
        <is>
          <t>PP 33/2026 berlaku 16 Jan 2027</t>
        </is>
      </c>
      <c r="P28" s="19" t="n">
        <v>7</v>
      </c>
      <c r="Q28" s="19" t="n">
        <v>6</v>
      </c>
      <c r="R28" s="19" t="n">
        <v>9</v>
      </c>
      <c r="S28" s="19" t="n">
        <v>5</v>
      </c>
      <c r="T28" s="23">
        <f>ROUND(Q28*W_AW+R28*W_CV+S28*W_SH,1)</f>
        <v/>
      </c>
      <c r="U28" s="19">
        <f>ROUND((P28+S28)/2,1)</f>
        <v/>
      </c>
      <c r="V28" s="19">
        <f>RANK(T28,$T$2:$T$49)</f>
        <v/>
      </c>
      <c r="W28" s="20" t="inlineStr">
        <is>
          <t>Rendah</t>
        </is>
      </c>
      <c r="X28" s="20" t="inlineStr">
        <is>
          <t>Rendah</t>
        </is>
      </c>
      <c r="Y28" s="20" t="inlineStr">
        <is>
          <t>Baru</t>
        </is>
      </c>
      <c r="Z28" s="20" t="inlineStr">
        <is>
          <t>Okt–Nov 2026 (musim anggaran)</t>
        </is>
      </c>
      <c r="AA28" s="20">
        <f>T28+ROW()/100000</f>
        <v/>
      </c>
    </row>
    <row r="29" ht="120" customHeight="1">
      <c r="A29" s="9" t="inlineStr">
        <is>
          <t>A28</t>
        </is>
      </c>
      <c r="B29" s="11" t="inlineStr">
        <is>
          <t>HR: pelamar minta CV-nya dihapus</t>
        </is>
      </c>
      <c r="C29" s="5" t="inlineStr">
        <is>
          <t>Reaksi "HAH?"</t>
        </is>
      </c>
      <c r="D29" s="5" t="inlineStr">
        <is>
          <t>Tools</t>
        </is>
      </c>
      <c r="E29" s="5" t="inlineStr">
        <is>
          <t>Awareness</t>
        </is>
      </c>
      <c r="F29" s="5" t="inlineStr">
        <is>
          <t>HR, recruiter</t>
        </is>
      </c>
      <c r="G29" s="5" t="inlineStr">
        <is>
          <t>TikTok/Reels 15 dtk</t>
        </is>
      </c>
      <c r="H29" s="5" t="inlineStr">
        <is>
          <t>"Pelamar: 'Tolong hapus data saya.' HR:"</t>
        </is>
      </c>
      <c r="I29" s="9" t="inlineStr">
        <is>
          <t>Relate</t>
        </is>
      </c>
      <c r="J29" s="5" t="inlineStr">
        <is>
          <t>"HAH?" → retensi di RoPA + DSR 72 jam</t>
        </is>
      </c>
      <c r="K29" s="5" t="inlineStr">
        <is>
          <t>"HAH?" (rekam tim)</t>
        </is>
      </c>
      <c r="L29" s="5" t="inlineStr">
        <is>
          <t>—</t>
        </is>
      </c>
      <c r="M29" s="5" t="inlineStr">
        <is>
          <t>RoPA (retensi), DSR</t>
        </is>
      </c>
      <c r="N29" s="5" t="inlineStr">
        <is>
          <t>Tag tim HR</t>
        </is>
      </c>
      <c r="O29" s="5" t="inlineStr">
        <is>
          <t>fakta_produk: ropa (retensi), dsr</t>
        </is>
      </c>
      <c r="P29" s="9" t="n">
        <v>8</v>
      </c>
      <c r="Q29" s="9" t="n">
        <v>7</v>
      </c>
      <c r="R29" s="9" t="n">
        <v>6</v>
      </c>
      <c r="S29" s="9" t="n">
        <v>8</v>
      </c>
      <c r="T29" s="26">
        <f>ROUND(Q29*W_AW+R29*W_CV+S29*W_SH,1)</f>
        <v/>
      </c>
      <c r="U29" s="9">
        <f>ROUND((P29+S29)/2,1)</f>
        <v/>
      </c>
      <c r="V29" s="9">
        <f>RANK(T29,$T$2:$T$49)</f>
        <v/>
      </c>
      <c r="W29" s="5" t="inlineStr">
        <is>
          <t>Rendah</t>
        </is>
      </c>
      <c r="X29" s="5" t="inlineStr">
        <is>
          <t>Rendah</t>
        </is>
      </c>
      <c r="Y29" s="5" t="inlineStr">
        <is>
          <t>Baru</t>
        </is>
      </c>
      <c r="Z29" s="5" t="inlineStr">
        <is>
          <t>Kapan saja</t>
        </is>
      </c>
      <c r="AA29" s="5">
        <f>T29+ROW()/100000</f>
        <v/>
      </c>
    </row>
    <row r="30" ht="120" customHeight="1">
      <c r="A30" s="19" t="inlineStr">
        <is>
          <t>A29</t>
        </is>
      </c>
      <c r="B30" s="21" t="inlineStr">
        <is>
          <t>IT: "Aman kok, password-nya 123"</t>
        </is>
      </c>
      <c r="C30" s="20" t="inlineStr">
        <is>
          <t>Error / gagal</t>
        </is>
      </c>
      <c r="D30" s="20" t="inlineStr">
        <is>
          <t>Tools</t>
        </is>
      </c>
      <c r="E30" s="20" t="inlineStr">
        <is>
          <t>Awareness</t>
        </is>
      </c>
      <c r="F30" s="20" t="inlineStr">
        <is>
          <t>IT, karyawan</t>
        </is>
      </c>
      <c r="G30" s="20" t="inlineStr">
        <is>
          <t>TikTok/Reels 10–15 dtk</t>
        </is>
      </c>
      <c r="H30" s="20" t="inlineStr">
        <is>
          <t>"IT: 'Aman kok.' Password-nya:"</t>
        </is>
      </c>
      <c r="I30" s="19" t="inlineStr">
        <is>
          <t>Logika dipatahkan</t>
        </is>
      </c>
      <c r="J30" s="20" t="inlineStr">
        <is>
          <t>"123456" → suara error → fire drill simulasi insiden di Nexus</t>
        </is>
      </c>
      <c r="K30" s="20" t="inlineStr">
        <is>
          <t>error (synth) · "FAAAH"</t>
        </is>
      </c>
      <c r="L30" s="20" t="inlineStr">
        <is>
          <t>—</t>
        </is>
      </c>
      <c r="M30" s="20" t="inlineStr">
        <is>
          <t>Simulasi &amp; Fire Drill</t>
        </is>
      </c>
      <c r="N30" s="20" t="inlineStr">
        <is>
          <t>Uji kesiapan timmu</t>
        </is>
      </c>
      <c r="O30" s="20" t="inlineStr">
        <is>
          <t>fakta_produk: simulasi</t>
        </is>
      </c>
      <c r="P30" s="19" t="n">
        <v>8</v>
      </c>
      <c r="Q30" s="19" t="n">
        <v>8</v>
      </c>
      <c r="R30" s="19" t="n">
        <v>6</v>
      </c>
      <c r="S30" s="19" t="n">
        <v>8</v>
      </c>
      <c r="T30" s="23">
        <f>ROUND(Q30*W_AW+R30*W_CV+S30*W_SH,1)</f>
        <v/>
      </c>
      <c r="U30" s="19">
        <f>ROUND((P30+S30)/2,1)</f>
        <v/>
      </c>
      <c r="V30" s="19">
        <f>RANK(T30,$T$2:$T$49)</f>
        <v/>
      </c>
      <c r="W30" s="20" t="inlineStr">
        <is>
          <t>Rendah</t>
        </is>
      </c>
      <c r="X30" s="20" t="inlineStr">
        <is>
          <t>Rendah</t>
        </is>
      </c>
      <c r="Y30" s="20" t="inlineStr">
        <is>
          <t>Baru</t>
        </is>
      </c>
      <c r="Z30" s="20" t="inlineStr">
        <is>
          <t>Kapan saja</t>
        </is>
      </c>
      <c r="AA30" s="20">
        <f>T30+ROW()/100000</f>
        <v/>
      </c>
    </row>
    <row r="31" ht="120" customHeight="1">
      <c r="A31" s="9" t="inlineStr">
        <is>
          <t>A30</t>
        </is>
      </c>
      <c r="B31" s="11" t="inlineStr">
        <is>
          <t>Latihan kebakaran ada, latihan kebocoran data?</t>
        </is>
      </c>
      <c r="C31" s="5" t="inlineStr">
        <is>
          <t>Pertanyaan retoris + alarm</t>
        </is>
      </c>
      <c r="D31" s="5" t="inlineStr">
        <is>
          <t>Tools</t>
        </is>
      </c>
      <c r="E31" s="5" t="inlineStr">
        <is>
          <t>Konversi</t>
        </is>
      </c>
      <c r="F31" s="5" t="inlineStr">
        <is>
          <t>CISO, DPO</t>
        </is>
      </c>
      <c r="G31" s="5" t="inlineStr">
        <is>
          <t>LinkedIn/Reels 15 dtk</t>
        </is>
      </c>
      <c r="H31" s="5" t="inlineStr">
        <is>
          <t>"Kantor kita rutin latihan kebakaran. Latihan kebocoran data?"</t>
        </is>
      </c>
      <c r="I31" s="9" t="inlineStr">
        <is>
          <t>Logika dipatahkan</t>
        </is>
      </c>
      <c r="J31" s="5" t="inlineStr">
        <is>
          <t>Alarm → skenario kuis/tabletop di Nexus → skor rubrik</t>
        </is>
      </c>
      <c r="K31" s="5" t="inlineStr">
        <is>
          <t>alarm · centang</t>
        </is>
      </c>
      <c r="L31" s="5" t="inlineStr">
        <is>
          <t>—</t>
        </is>
      </c>
      <c r="M31" s="5" t="inlineStr">
        <is>
          <t>Simulasi &amp; Fire Drill</t>
        </is>
      </c>
      <c r="N31" s="5" t="inlineStr">
        <is>
          <t>Minta demo</t>
        </is>
      </c>
      <c r="O31" s="5" t="inlineStr">
        <is>
          <t>fakta_produk: simulasi (kuis, tabletop, walkthrough, rubrik)</t>
        </is>
      </c>
      <c r="P31" s="9" t="n">
        <v>7</v>
      </c>
      <c r="Q31" s="9" t="n">
        <v>7</v>
      </c>
      <c r="R31" s="9" t="n">
        <v>8</v>
      </c>
      <c r="S31" s="9" t="n">
        <v>6</v>
      </c>
      <c r="T31" s="26">
        <f>ROUND(Q31*W_AW+R31*W_CV+S31*W_SH,1)</f>
        <v/>
      </c>
      <c r="U31" s="9">
        <f>ROUND((P31+S31)/2,1)</f>
        <v/>
      </c>
      <c r="V31" s="9">
        <f>RANK(T31,$T$2:$T$49)</f>
        <v/>
      </c>
      <c r="W31" s="5" t="inlineStr">
        <is>
          <t>Rendah</t>
        </is>
      </c>
      <c r="X31" s="5" t="inlineStr">
        <is>
          <t>Rendah</t>
        </is>
      </c>
      <c r="Y31" s="5" t="inlineStr">
        <is>
          <t>Baru</t>
        </is>
      </c>
      <c r="Z31" s="5" t="inlineStr">
        <is>
          <t>Okt 2026</t>
        </is>
      </c>
      <c r="AA31" s="5">
        <f>T31+ROW()/100000</f>
        <v/>
      </c>
    </row>
    <row r="32" ht="120" customHeight="1">
      <c r="A32" s="19" t="inlineStr">
        <is>
          <t>A31</t>
        </is>
      </c>
      <c r="B32" s="21" t="inlineStr">
        <is>
          <t>Sus: pengguna umur 12 daftar sendiri</t>
        </is>
      </c>
      <c r="C32" s="20" t="inlineStr">
        <is>
          <t>Slang "sus"</t>
        </is>
      </c>
      <c r="D32" s="20" t="inlineStr">
        <is>
          <t>Tools</t>
        </is>
      </c>
      <c r="E32" s="20" t="inlineStr">
        <is>
          <t>Konversi</t>
        </is>
      </c>
      <c r="F32" s="20" t="inlineStr">
        <is>
          <t>Edtech, game, sekolah</t>
        </is>
      </c>
      <c r="G32" s="20" t="inlineStr">
        <is>
          <t>Reels/Shorts 15 dtk</t>
        </is>
      </c>
      <c r="H32" s="20" t="inlineStr">
        <is>
          <t>"Pengguna umur 12 tahun daftar sendiri tanpa wali? Sus."</t>
        </is>
      </c>
      <c r="I32" s="19" t="inlineStr">
        <is>
          <t>Anomali</t>
        </is>
      </c>
      <c r="J32" s="20" t="inlineStr">
        <is>
          <t>Children Pro: persetujuan wali, peralihan saat 18 tahun</t>
        </is>
      </c>
      <c r="K32" s="20" t="inlineStr">
        <is>
          <t>pop · ding</t>
        </is>
      </c>
      <c r="L32" s="20" t="inlineStr">
        <is>
          <t>—</t>
        </is>
      </c>
      <c r="M32" s="20" t="inlineStr">
        <is>
          <t>Children Pro</t>
        </is>
      </c>
      <c r="N32" s="20" t="inlineStr">
        <is>
          <t>Minta demo</t>
        </is>
      </c>
      <c r="O32" s="20" t="inlineStr">
        <is>
          <t>fakta_produk: consent (Children Pro); PP 33 Ps. 38 ayat (8)</t>
        </is>
      </c>
      <c r="P32" s="19" t="n">
        <v>6</v>
      </c>
      <c r="Q32" s="19" t="n">
        <v>7</v>
      </c>
      <c r="R32" s="19" t="n">
        <v>7</v>
      </c>
      <c r="S32" s="19" t="n">
        <v>6</v>
      </c>
      <c r="T32" s="23">
        <f>ROUND(Q32*W_AW+R32*W_CV+S32*W_SH,1)</f>
        <v/>
      </c>
      <c r="U32" s="19">
        <f>ROUND((P32+S32)/2,1)</f>
        <v/>
      </c>
      <c r="V32" s="19">
        <f>RANK(T32,$T$2:$T$49)</f>
        <v/>
      </c>
      <c r="W32" s="20" t="inlineStr">
        <is>
          <t>Rendah</t>
        </is>
      </c>
      <c r="X32" s="20" t="inlineStr">
        <is>
          <t>Rendah</t>
        </is>
      </c>
      <c r="Y32" s="20" t="inlineStr">
        <is>
          <t>Bisa dari N06</t>
        </is>
      </c>
      <c r="Z32" s="20" t="inlineStr">
        <is>
          <t>Nov 2026</t>
        </is>
      </c>
      <c r="AA32" s="20">
        <f>T32+ROW()/100000</f>
        <v/>
      </c>
    </row>
    <row r="33" ht="120" customHeight="1">
      <c r="A33" s="9" t="inlineStr">
        <is>
          <t>A32</t>
        </is>
      </c>
      <c r="B33" s="11" t="inlineStr">
        <is>
          <t>Persetujuan yang bisa dipahami semua orang</t>
        </is>
      </c>
      <c r="C33" s="5" t="inlineStr">
        <is>
          <t>Heartwarming (non-meme)</t>
        </is>
      </c>
      <c r="D33" s="5" t="inlineStr">
        <is>
          <t>Brand</t>
        </is>
      </c>
      <c r="E33" s="5" t="inlineStr">
        <is>
          <t>Awareness</t>
        </is>
      </c>
      <c r="F33" s="5" t="inlineStr">
        <is>
          <t>Publik, layanan publik</t>
        </is>
      </c>
      <c r="G33" s="5" t="inlineStr">
        <is>
          <t>Reels/YouTube 20 dtk</t>
        </is>
      </c>
      <c r="H33" s="5" t="inlineStr">
        <is>
          <t>"Tombol 'Setuju' yang tidak bisa dibaca semua orang"</t>
        </is>
      </c>
      <c r="I33" s="9" t="inlineStr">
        <is>
          <t>Reverse psychology</t>
        </is>
      </c>
      <c r="J33" s="5" t="inlineStr">
        <is>
          <t>Pengguna tunanetra/lansia → Inclusive Privacy</t>
        </is>
      </c>
      <c r="K33" s="5" t="inlineStr">
        <is>
          <t>musik lembut</t>
        </is>
      </c>
      <c r="L33" s="5" t="inlineStr">
        <is>
          <t>—</t>
        </is>
      </c>
      <c r="M33" s="5" t="inlineStr">
        <is>
          <t>Inclusive Privacy</t>
        </is>
      </c>
      <c r="N33" s="5" t="inlineStr">
        <is>
          <t>Pelajari lebih lanjut</t>
        </is>
      </c>
      <c r="O33" s="5" t="inlineStr">
        <is>
          <t>fakta_produk: consent (Inclusive Privacy)</t>
        </is>
      </c>
      <c r="P33" s="9" t="n">
        <v>6</v>
      </c>
      <c r="Q33" s="9" t="n">
        <v>6</v>
      </c>
      <c r="R33" s="9" t="n">
        <v>6</v>
      </c>
      <c r="S33" s="9" t="n">
        <v>7</v>
      </c>
      <c r="T33" s="26">
        <f>ROUND(Q33*W_AW+R33*W_CV+S33*W_SH,1)</f>
        <v/>
      </c>
      <c r="U33" s="9">
        <f>ROUND((P33+S33)/2,1)</f>
        <v/>
      </c>
      <c r="V33" s="9">
        <f>RANK(T33,$T$2:$T$49)</f>
        <v/>
      </c>
      <c r="W33" s="5" t="inlineStr">
        <is>
          <t>Sedang</t>
        </is>
      </c>
      <c r="X33" s="5" t="inlineStr">
        <is>
          <t>Rendah. Libatkan komunitas disabilitas, hindari stereotip</t>
        </is>
      </c>
      <c r="Y33" s="5" t="inlineStr">
        <is>
          <t>Baru</t>
        </is>
      </c>
      <c r="Z33" s="5" t="inlineStr">
        <is>
          <t>Awal Des 2026 (3 Des: Hari Disabilitas Internasional)</t>
        </is>
      </c>
      <c r="AA33" s="5">
        <f>T33+ROW()/100000</f>
        <v/>
      </c>
    </row>
    <row r="34" ht="120" customHeight="1">
      <c r="A34" s="19" t="inlineStr">
        <is>
          <t>A33</t>
        </is>
      </c>
      <c r="B34" s="21" t="inlineStr">
        <is>
          <t>12 anak usaha, 12 versi RoPA</t>
        </is>
      </c>
      <c r="C34" s="20" t="inlineStr">
        <is>
          <t>"Saling tunjuk" (digambar ulang, tanpa adegan kartun asli)</t>
        </is>
      </c>
      <c r="D34" s="20" t="inlineStr">
        <is>
          <t>Konsultasi + Tools</t>
        </is>
      </c>
      <c r="E34" s="20" t="inlineStr">
        <is>
          <t>Konversi</t>
        </is>
      </c>
      <c r="F34" s="20" t="inlineStr">
        <is>
          <t>Holding, grup usaha</t>
        </is>
      </c>
      <c r="G34" s="20" t="inlineStr">
        <is>
          <t>LinkedIn/Reels 15 dtk</t>
        </is>
      </c>
      <c r="H34" s="20" t="inlineStr">
        <is>
          <t>Holding: "Siapa yang pegang data pelanggan?"</t>
        </is>
      </c>
      <c r="I34" s="19" t="inlineStr">
        <is>
          <t>Anomali</t>
        </is>
      </c>
      <c r="J34" s="20" t="inlineStr">
        <is>
          <t>3 karakter DPO identik saling tunjuk → Holding Dashboard: satu grup, satu standar</t>
        </is>
      </c>
      <c r="K34" s="20" t="inlineStr">
        <is>
          <t>vine boom</t>
        </is>
      </c>
      <c r="L34" s="20" t="inlineStr">
        <is>
          <t>—</t>
        </is>
      </c>
      <c r="M34" s="20" t="inlineStr">
        <is>
          <t>Holding Dashboard</t>
        </is>
      </c>
      <c r="N34" s="20" t="inlineStr">
        <is>
          <t>Konsultasi enterprise</t>
        </is>
      </c>
      <c r="O34" s="20" t="inlineStr">
        <is>
          <t>Tampilan asli Holding Group Dashboard (tanpa data grup)</t>
        </is>
      </c>
      <c r="P34" s="19" t="n">
        <v>7</v>
      </c>
      <c r="Q34" s="19" t="n">
        <v>7</v>
      </c>
      <c r="R34" s="19" t="n">
        <v>8</v>
      </c>
      <c r="S34" s="19" t="n">
        <v>6</v>
      </c>
      <c r="T34" s="23">
        <f>ROUND(Q34*W_AW+R34*W_CV+S34*W_SH,1)</f>
        <v/>
      </c>
      <c r="U34" s="19">
        <f>ROUND((P34+S34)/2,1)</f>
        <v/>
      </c>
      <c r="V34" s="19">
        <f>RANK(T34,$T$2:$T$49)</f>
        <v/>
      </c>
      <c r="W34" s="20" t="inlineStr">
        <is>
          <t>Rendah</t>
        </is>
      </c>
      <c r="X34" s="20" t="inlineStr">
        <is>
          <t>Rendah</t>
        </is>
      </c>
      <c r="Y34" s="20" t="inlineStr">
        <is>
          <t>Bisa dari N10</t>
        </is>
      </c>
      <c r="Z34" s="20" t="inlineStr">
        <is>
          <t>Nov 2026</t>
        </is>
      </c>
      <c r="AA34" s="20">
        <f>T34+ROW()/100000</f>
        <v/>
      </c>
    </row>
    <row r="35" ht="120" customHeight="1">
      <c r="A35" s="9" t="inlineStr">
        <is>
          <t>A34</t>
        </is>
      </c>
      <c r="B35" s="11" t="inlineStr">
        <is>
          <t>Server-nya di mana? "Di cloud."</t>
        </is>
      </c>
      <c r="C35" s="5" t="inlineStr">
        <is>
          <t>Reaksi bingung</t>
        </is>
      </c>
      <c r="D35" s="5" t="inlineStr">
        <is>
          <t>Tools</t>
        </is>
      </c>
      <c r="E35" s="5" t="inlineStr">
        <is>
          <t>Awareness</t>
        </is>
      </c>
      <c r="F35" s="5" t="inlineStr">
        <is>
          <t>IT, legal</t>
        </is>
      </c>
      <c r="G35" s="5" t="inlineStr">
        <is>
          <t>TikTok/Reels 15 dtk</t>
        </is>
      </c>
      <c r="H35" s="5" t="inlineStr">
        <is>
          <t>"Data pelanggan disimpan di mana?" "Di cloud." "Cloud-nya di negara mana?"</t>
        </is>
      </c>
      <c r="I35" s="9" t="inlineStr">
        <is>
          <t>Logika dipatahkan</t>
        </is>
      </c>
      <c r="J35" s="5" t="inlineStr">
        <is>
          <t>Jangkrik → register transfer lintas negara + TIA</t>
        </is>
      </c>
      <c r="K35" s="5" t="inlineStr">
        <is>
          <t>jangkrik · "HAH?"</t>
        </is>
      </c>
      <c r="L35" s="5" t="inlineStr">
        <is>
          <t>—</t>
        </is>
      </c>
      <c r="M35" s="5" t="inlineStr">
        <is>
          <t>Transfer Data Lintas Negara (TIA)</t>
        </is>
      </c>
      <c r="N35" s="5" t="inlineStr">
        <is>
          <t>Minta demo</t>
        </is>
      </c>
      <c r="O35" s="5" t="inlineStr">
        <is>
          <t>fakta_produk: transfer lintas negara</t>
        </is>
      </c>
      <c r="P35" s="9" t="n">
        <v>7</v>
      </c>
      <c r="Q35" s="9" t="n">
        <v>6</v>
      </c>
      <c r="R35" s="9" t="n">
        <v>7</v>
      </c>
      <c r="S35" s="9" t="n">
        <v>7</v>
      </c>
      <c r="T35" s="26">
        <f>ROUND(Q35*W_AW+R35*W_CV+S35*W_SH,1)</f>
        <v/>
      </c>
      <c r="U35" s="9">
        <f>ROUND((P35+S35)/2,1)</f>
        <v/>
      </c>
      <c r="V35" s="9">
        <f>RANK(T35,$T$2:$T$49)</f>
        <v/>
      </c>
      <c r="W35" s="5" t="inlineStr">
        <is>
          <t>Rendah</t>
        </is>
      </c>
      <c r="X35" s="5" t="inlineStr">
        <is>
          <t>Rendah</t>
        </is>
      </c>
      <c r="Y35" s="5" t="inlineStr">
        <is>
          <t>Baru</t>
        </is>
      </c>
      <c r="Z35" s="5" t="inlineStr">
        <is>
          <t>Kapan saja</t>
        </is>
      </c>
      <c r="AA35" s="5">
        <f>T35+ROW()/100000</f>
        <v/>
      </c>
    </row>
    <row r="36" ht="120" customHeight="1">
      <c r="A36" s="19" t="inlineStr">
        <is>
          <t>A35</t>
        </is>
      </c>
      <c r="B36" s="21" t="inlineStr">
        <is>
          <t>AI yang ngarang pasal vs AI yang mengutip pasal</t>
        </is>
      </c>
      <c r="C36" s="20" t="inlineStr">
        <is>
          <t>Drake-style ❌/✅ (digambar ulang)</t>
        </is>
      </c>
      <c r="D36" s="20" t="inlineStr">
        <is>
          <t>Tools</t>
        </is>
      </c>
      <c r="E36" s="20" t="inlineStr">
        <is>
          <t>Konversi</t>
        </is>
      </c>
      <c r="F36" s="20" t="inlineStr">
        <is>
          <t>Legal, DPO</t>
        </is>
      </c>
      <c r="G36" s="20" t="inlineStr">
        <is>
          <t>LinkedIn/Reels 15 dtk</t>
        </is>
      </c>
      <c r="H36" s="20" t="inlineStr">
        <is>
          <t>"Tanya AI soal bunyi pasal:"</t>
        </is>
      </c>
      <c r="I36" s="19" t="inlineStr">
        <is>
          <t>Logika dipatahkan</t>
        </is>
      </c>
      <c r="J36" s="20" t="inlineStr">
        <is>
          <t>❌ AI yang mengarang bunyi pasal / ✅ Telaah Kebijakan Nexus: bunyi pasal diambil dari knowledge base regulasi</t>
        </is>
      </c>
      <c r="K36" s="20" t="inlineStr">
        <is>
          <t>buzzer · ding benar</t>
        </is>
      </c>
      <c r="L36" s="20" t="inlineStr">
        <is>
          <t>—</t>
        </is>
      </c>
      <c r="M36" s="20" t="inlineStr">
        <is>
          <t>Telaah Kebijakan, asisten AI</t>
        </is>
      </c>
      <c r="N36" s="20" t="inlineStr">
        <is>
          <t>Minta demo</t>
        </is>
      </c>
      <c r="O36" s="20" t="inlineStr">
        <is>
          <t>fakta_produk: telaah kebijakan (bunyi pasal dari knowledge base, bukan ditulis AI)</t>
        </is>
      </c>
      <c r="P36" s="19" t="n">
        <v>7</v>
      </c>
      <c r="Q36" s="19" t="n">
        <v>7</v>
      </c>
      <c r="R36" s="19" t="n">
        <v>8</v>
      </c>
      <c r="S36" s="19" t="n">
        <v>7</v>
      </c>
      <c r="T36" s="23">
        <f>ROUND(Q36*W_AW+R36*W_CV+S36*W_SH,1)</f>
        <v/>
      </c>
      <c r="U36" s="19">
        <f>ROUND((P36+S36)/2,1)</f>
        <v/>
      </c>
      <c r="V36" s="19">
        <f>RANK(T36,$T$2:$T$49)</f>
        <v/>
      </c>
      <c r="W36" s="20" t="inlineStr">
        <is>
          <t>Rendah</t>
        </is>
      </c>
      <c r="X36" s="20" t="inlineStr">
        <is>
          <t>Sedang. Jangan sebut merek AI lain</t>
        </is>
      </c>
      <c r="Y36" s="20" t="inlineStr">
        <is>
          <t>Baru</t>
        </is>
      </c>
      <c r="Z36" s="20" t="inlineStr">
        <is>
          <t>Okt–Nov 2026</t>
        </is>
      </c>
      <c r="AA36" s="20">
        <f>T36+ROW()/100000</f>
        <v/>
      </c>
    </row>
    <row r="37" ht="120" customHeight="1">
      <c r="A37" s="9" t="inlineStr">
        <is>
          <t>A36</t>
        </is>
      </c>
      <c r="B37" s="11" t="inlineStr">
        <is>
          <t>Selamat, kamu DPO sekarang 👏</t>
        </is>
      </c>
      <c r="C37" s="5" t="inlineStr">
        <is>
          <t>Tepuk tangan sarkas</t>
        </is>
      </c>
      <c r="D37" s="5" t="inlineStr">
        <is>
          <t>Konsultasi + Pelatihan</t>
        </is>
      </c>
      <c r="E37" s="5" t="inlineStr">
        <is>
          <t>Konversi</t>
        </is>
      </c>
      <c r="F37" s="5" t="inlineStr">
        <is>
          <t>DPO/PPDP baru</t>
        </is>
      </c>
      <c r="G37" s="5" t="inlineStr">
        <is>
          <t>Reels/LinkedIn 15–20 dtk</t>
        </is>
      </c>
      <c r="H37" s="5" t="inlineStr">
        <is>
          <t>Bos: "Selamat, kamu DPO sekarang."</t>
        </is>
      </c>
      <c r="I37" s="9" t="inlineStr">
        <is>
          <t>Reverse psychology</t>
        </is>
      </c>
      <c r="J37" s="5" t="inlineStr">
        <is>
          <t>Tepuk tangan sarkas → DPO 🫠 → DPO Academy + pendampingan konsultan</t>
        </is>
      </c>
      <c r="K37" s="5" t="inlineStr">
        <is>
          <t>tepuk tangan (synth) · sad violin (synth)</t>
        </is>
      </c>
      <c r="L37" s="5" t="inlineStr">
        <is>
          <t>—</t>
        </is>
      </c>
      <c r="M37" s="5" t="inlineStr">
        <is>
          <t>DPO Academy, pendampingan</t>
        </is>
      </c>
      <c r="N37" s="5" t="inlineStr">
        <is>
          <t>Kelas &amp; pendampingan PPDP</t>
        </is>
      </c>
      <c r="O37" s="5" t="inlineStr">
        <is>
          <t>UU PDP Ps. 53–54 (penunjukan &amp; tugas PPDP); DPO Academy</t>
        </is>
      </c>
      <c r="P37" s="9" t="n">
        <v>8</v>
      </c>
      <c r="Q37" s="9" t="n">
        <v>7</v>
      </c>
      <c r="R37" s="9" t="n">
        <v>8</v>
      </c>
      <c r="S37" s="9" t="n">
        <v>8</v>
      </c>
      <c r="T37" s="26">
        <f>ROUND(Q37*W_AW+R37*W_CV+S37*W_SH,1)</f>
        <v/>
      </c>
      <c r="U37" s="9">
        <f>ROUND((P37+S37)/2,1)</f>
        <v/>
      </c>
      <c r="V37" s="9">
        <f>RANK(T37,$T$2:$T$49)</f>
        <v/>
      </c>
      <c r="W37" s="5" t="inlineStr">
        <is>
          <t>Rendah</t>
        </is>
      </c>
      <c r="X37" s="5" t="inlineStr">
        <is>
          <t>Rendah</t>
        </is>
      </c>
      <c r="Y37" s="5" t="inlineStr">
        <is>
          <t>Bisa dari N09</t>
        </is>
      </c>
      <c r="Z37" s="5" t="inlineStr">
        <is>
          <t>Okt 2026</t>
        </is>
      </c>
      <c r="AA37" s="5">
        <f>T37+ROW()/100000</f>
        <v/>
      </c>
    </row>
    <row r="38" ht="120" customHeight="1">
      <c r="A38" s="19" t="inlineStr">
        <is>
          <t>A37</t>
        </is>
      </c>
      <c r="B38" s="21" t="inlineStr">
        <is>
          <t>Konsultan yang kirim PDF lalu hilang</t>
        </is>
      </c>
      <c r="C38" s="20" t="inlineStr">
        <is>
          <t>Drake-style ❌/✅</t>
        </is>
      </c>
      <c r="D38" s="20" t="inlineStr">
        <is>
          <t>Konsultasi</t>
        </is>
      </c>
      <c r="E38" s="20" t="inlineStr">
        <is>
          <t>Konversi</t>
        </is>
      </c>
      <c r="F38" s="20" t="inlineStr">
        <is>
          <t>Direksi, DPO</t>
        </is>
      </c>
      <c r="G38" s="20" t="inlineStr">
        <is>
          <t>LinkedIn/Reels 15 dtk</t>
        </is>
      </c>
      <c r="H38" s="20" t="inlineStr">
        <is>
          <t>"Konsultan PDP yang kamu butuhkan:"</t>
        </is>
      </c>
      <c r="I38" s="19" t="inlineStr">
        <is>
          <t>Logika dipatahkan</t>
        </is>
      </c>
      <c r="J38" s="20" t="inlineStr">
        <is>
          <t>❌ kirim dokumen 200 halaman lalu hilang / ✅ mendampingi sampai audit + tools Nexus</t>
        </is>
      </c>
      <c r="K38" s="20" t="inlineStr">
        <is>
          <t>buzzer · ding benar</t>
        </is>
      </c>
      <c r="L38" s="20" t="inlineStr">
        <is>
          <t>—</t>
        </is>
      </c>
      <c r="M38" s="20" t="inlineStr">
        <is>
          <t>Konsultasi + Nexus</t>
        </is>
      </c>
      <c r="N38" s="20" t="inlineStr">
        <is>
          <t>Konsultasi (cek penawaran gratis masih berlaku)</t>
        </is>
      </c>
      <c r="O38" s="20" t="inlineStr">
        <is>
          <t>—</t>
        </is>
      </c>
      <c r="P38" s="19" t="n">
        <v>7</v>
      </c>
      <c r="Q38" s="19" t="n">
        <v>6</v>
      </c>
      <c r="R38" s="19" t="n">
        <v>9</v>
      </c>
      <c r="S38" s="19" t="n">
        <v>6</v>
      </c>
      <c r="T38" s="23">
        <f>ROUND(Q38*W_AW+R38*W_CV+S38*W_SH,1)</f>
        <v/>
      </c>
      <c r="U38" s="19">
        <f>ROUND((P38+S38)/2,1)</f>
        <v/>
      </c>
      <c r="V38" s="19">
        <f>RANK(T38,$T$2:$T$49)</f>
        <v/>
      </c>
      <c r="W38" s="20" t="inlineStr">
        <is>
          <t>Rendah</t>
        </is>
      </c>
      <c r="X38" s="20" t="inlineStr">
        <is>
          <t>Sedang. Jangan menyindir pesaing tertentu</t>
        </is>
      </c>
      <c r="Y38" s="20" t="inlineStr">
        <is>
          <t>Bisa dari N07</t>
        </is>
      </c>
      <c r="Z38" s="20" t="inlineStr">
        <is>
          <t>Nov 2026</t>
        </is>
      </c>
      <c r="AA38" s="20">
        <f>T38+ROW()/100000</f>
        <v/>
      </c>
    </row>
    <row r="39" ht="120" customHeight="1">
      <c r="A39" s="9" t="inlineStr">
        <is>
          <t>A38</t>
        </is>
      </c>
      <c r="B39" s="11" t="inlineStr">
        <is>
          <t>Hapus data saya… yang ada di 7 sistem</t>
        </is>
      </c>
      <c r="C39" s="5" t="inlineStr">
        <is>
          <t>Ekspektasi vs realita</t>
        </is>
      </c>
      <c r="D39" s="5" t="inlineStr">
        <is>
          <t>Tools</t>
        </is>
      </c>
      <c r="E39" s="5" t="inlineStr">
        <is>
          <t>Konversi</t>
        </is>
      </c>
      <c r="F39" s="5" t="inlineStr">
        <is>
          <t>DPO, IT</t>
        </is>
      </c>
      <c r="G39" s="5" t="inlineStr">
        <is>
          <t>LinkedIn/Reels 15 dtk</t>
        </is>
      </c>
      <c r="H39" s="5" t="inlineStr">
        <is>
          <t>"Ekspektasi: hapus 1 data. Realita:"</t>
        </is>
      </c>
      <c r="I39" s="9" t="inlineStr">
        <is>
          <t>Anomali</t>
        </is>
      </c>
      <c r="J39" s="5" t="inlineStr">
        <is>
          <t>Data orang yang sama muncul di 7 sistem → Data Discovery menemukan semuanya</t>
        </is>
      </c>
      <c r="K39" s="5" t="inlineStr">
        <is>
          <t>dun dun dun</t>
        </is>
      </c>
      <c r="L39" s="5" t="inlineStr">
        <is>
          <t>—</t>
        </is>
      </c>
      <c r="M39" s="5" t="inlineStr">
        <is>
          <t>Data Discovery, DSR</t>
        </is>
      </c>
      <c r="N39" s="5" t="inlineStr">
        <is>
          <t>Minta demo</t>
        </is>
      </c>
      <c r="O39" s="5" t="inlineStr">
        <is>
          <t>fakta_produk: data discovery (cari data satu subjek)</t>
        </is>
      </c>
      <c r="P39" s="9" t="n">
        <v>7</v>
      </c>
      <c r="Q39" s="9" t="n">
        <v>6</v>
      </c>
      <c r="R39" s="9" t="n">
        <v>7</v>
      </c>
      <c r="S39" s="9" t="n">
        <v>6</v>
      </c>
      <c r="T39" s="26">
        <f>ROUND(Q39*W_AW+R39*W_CV+S39*W_SH,1)</f>
        <v/>
      </c>
      <c r="U39" s="9">
        <f>ROUND((P39+S39)/2,1)</f>
        <v/>
      </c>
      <c r="V39" s="9">
        <f>RANK(T39,$T$2:$T$49)</f>
        <v/>
      </c>
      <c r="W39" s="5" t="inlineStr">
        <is>
          <t>Rendah</t>
        </is>
      </c>
      <c r="X39" s="5" t="inlineStr">
        <is>
          <t>Rendah</t>
        </is>
      </c>
      <c r="Y39" s="5" t="inlineStr">
        <is>
          <t>Baru</t>
        </is>
      </c>
      <c r="Z39" s="5" t="inlineStr">
        <is>
          <t>Kapan saja</t>
        </is>
      </c>
      <c r="AA39" s="5">
        <f>T39+ROW()/100000</f>
        <v/>
      </c>
    </row>
    <row r="40" ht="120" customHeight="1">
      <c r="A40" s="19" t="inlineStr">
        <is>
          <t>A39</t>
        </is>
      </c>
      <c r="B40" s="21" t="inlineStr">
        <is>
          <t>Plot twist: yang bocorin… admin grup</t>
        </is>
      </c>
      <c r="C40" s="20" t="inlineStr">
        <is>
          <t>Storytime + plot twist</t>
        </is>
      </c>
      <c r="D40" s="20" t="inlineStr">
        <is>
          <t>Edukasi</t>
        </is>
      </c>
      <c r="E40" s="20" t="inlineStr">
        <is>
          <t>Awareness + Share</t>
        </is>
      </c>
      <c r="F40" s="20" t="inlineStr">
        <is>
          <t>Karyawan</t>
        </is>
      </c>
      <c r="G40" s="20" t="inlineStr">
        <is>
          <t>TikTok/Reels 20–30 dtk</t>
        </is>
      </c>
      <c r="H40" s="20" t="inlineStr">
        <is>
          <t>"Storytime: data pelanggan kami bocor. Pelakunya?"</t>
        </is>
      </c>
      <c r="I40" s="19" t="inlineStr">
        <is>
          <t>Anomali</t>
        </is>
      </c>
      <c r="J40" s="20" t="inlineStr">
        <is>
          <t>Investigasi dramatis → vine boom: "admin grup yang meneruskan file" → pelatihan + telaah kebijakan</t>
        </is>
      </c>
      <c r="K40" s="20" t="inlineStr">
        <is>
          <t>vine boom · dun dun dun</t>
        </is>
      </c>
      <c r="L40" s="20" t="inlineStr">
        <is>
          <t>Narator "berat"</t>
        </is>
      </c>
      <c r="M40" s="20" t="inlineStr">
        <is>
          <t>Telaah Kebijakan, DPO Academy</t>
        </is>
      </c>
      <c r="N40" s="20" t="inlineStr">
        <is>
          <t>Pernah kejadian di kantormu?</t>
        </is>
      </c>
      <c r="O40" s="20" t="inlineStr">
        <is>
          <t>— (cerita fiksi)</t>
        </is>
      </c>
      <c r="P40" s="19" t="n">
        <v>8</v>
      </c>
      <c r="Q40" s="19" t="n">
        <v>8</v>
      </c>
      <c r="R40" s="19" t="n">
        <v>6</v>
      </c>
      <c r="S40" s="19" t="n">
        <v>8</v>
      </c>
      <c r="T40" s="23">
        <f>ROUND(Q40*W_AW+R40*W_CV+S40*W_SH,1)</f>
        <v/>
      </c>
      <c r="U40" s="19">
        <f>ROUND((P40+S40)/2,1)</f>
        <v/>
      </c>
      <c r="V40" s="19">
        <f>RANK(T40,$T$2:$T$49)</f>
        <v/>
      </c>
      <c r="W40" s="20" t="inlineStr">
        <is>
          <t>Sedang</t>
        </is>
      </c>
      <c r="X40" s="20" t="inlineStr">
        <is>
          <t>Sedang. Cerita fiksi, beri label "ilustrasi"</t>
        </is>
      </c>
      <c r="Y40" s="20" t="inlineStr">
        <is>
          <t>Baru</t>
        </is>
      </c>
      <c r="Z40" s="20" t="inlineStr">
        <is>
          <t>Kapan saja</t>
        </is>
      </c>
      <c r="AA40" s="20">
        <f>T40+ROW()/100000</f>
        <v/>
      </c>
    </row>
    <row r="41" ht="120" customHeight="1">
      <c r="A41" s="9" t="inlineStr">
        <is>
          <t>A40</t>
        </is>
      </c>
      <c r="B41" s="11" t="inlineStr">
        <is>
          <t>Balas komentar: "DPO itu kerjanya apa?"</t>
        </is>
      </c>
      <c r="C41" s="5" t="inlineStr">
        <is>
          <t>Reply-to-comment TikTok</t>
        </is>
      </c>
      <c r="D41" s="5" t="inlineStr">
        <is>
          <t>Edukasi</t>
        </is>
      </c>
      <c r="E41" s="5" t="inlineStr">
        <is>
          <t>Awareness</t>
        </is>
      </c>
      <c r="F41" s="5" t="inlineStr">
        <is>
          <t>Umum</t>
        </is>
      </c>
      <c r="G41" s="5" t="inlineStr">
        <is>
          <t>TikTok 30–45 dtk</t>
        </is>
      </c>
      <c r="H41" s="5" t="inlineStr">
        <is>
          <t>"Balas @pengguna: 'DPO itu kerjanya apa sih?'"</t>
        </is>
      </c>
      <c r="I41" s="9" t="inlineStr">
        <is>
          <t>Relate</t>
        </is>
      </c>
      <c r="J41" s="5" t="inlineStr">
        <is>
          <t>3 poin (menasihati, memantau kepatuhan, jadi narahubung) + meme singkat tiap poin</t>
        </is>
      </c>
      <c r="K41" s="5" t="inlineStr">
        <is>
          <t>pop</t>
        </is>
      </c>
      <c r="L41" s="5" t="inlineStr">
        <is>
          <t>—</t>
        </is>
      </c>
      <c r="M41" s="5" t="inlineStr">
        <is>
          <t>Brand</t>
        </is>
      </c>
      <c r="N41" s="5" t="inlineStr">
        <is>
          <t>Follow untuk tips PDP</t>
        </is>
      </c>
      <c r="O41" s="5" t="inlineStr">
        <is>
          <t>UU PDP Ps. 54 (tugas PPDP)</t>
        </is>
      </c>
      <c r="P41" s="9" t="n">
        <v>7</v>
      </c>
      <c r="Q41" s="9" t="n">
        <v>7</v>
      </c>
      <c r="R41" s="9" t="n">
        <v>6</v>
      </c>
      <c r="S41" s="9" t="n">
        <v>7</v>
      </c>
      <c r="T41" s="26">
        <f>ROUND(Q41*W_AW+R41*W_CV+S41*W_SH,1)</f>
        <v/>
      </c>
      <c r="U41" s="9">
        <f>ROUND((P41+S41)/2,1)</f>
        <v/>
      </c>
      <c r="V41" s="9">
        <f>RANK(T41,$T$2:$T$49)</f>
        <v/>
      </c>
      <c r="W41" s="5" t="inlineStr">
        <is>
          <t>Rendah (talking head)</t>
        </is>
      </c>
      <c r="X41" s="5" t="inlineStr">
        <is>
          <t>Rendah</t>
        </is>
      </c>
      <c r="Y41" s="5" t="inlineStr">
        <is>
          <t>Baru</t>
        </is>
      </c>
      <c r="Z41" s="5" t="inlineStr">
        <is>
          <t>Kapan saja</t>
        </is>
      </c>
      <c r="AA41" s="5">
        <f>T41+ROW()/100000</f>
        <v/>
      </c>
    </row>
    <row r="42" ht="120" customHeight="1">
      <c r="A42" s="19" t="inlineStr">
        <is>
          <t>A41</t>
        </is>
      </c>
      <c r="B42" s="21" t="inlineStr">
        <is>
          <t>Sad violin: form RoPA yang tak pernah diisi</t>
        </is>
      </c>
      <c r="C42" s="20" t="inlineStr">
        <is>
          <t>Sad violin (melodi synth orisinal)</t>
        </is>
      </c>
      <c r="D42" s="20" t="inlineStr">
        <is>
          <t>Tools</t>
        </is>
      </c>
      <c r="E42" s="20" t="inlineStr">
        <is>
          <t>Awareness + Share</t>
        </is>
      </c>
      <c r="F42" s="20" t="inlineStr">
        <is>
          <t>DPO</t>
        </is>
      </c>
      <c r="G42" s="20" t="inlineStr">
        <is>
          <t>TikTok/Reels 15 dtk</t>
        </is>
      </c>
      <c r="H42" s="20" t="inlineStr">
        <is>
          <t>"Kisah sedih form RoPA yang dikirim ke 12 divisi"</t>
        </is>
      </c>
      <c r="I42" s="19" t="inlineStr">
        <is>
          <t>Relate</t>
        </is>
      </c>
      <c r="J42" s="20" t="inlineStr">
        <is>
          <t>Hari 1: dibaca ✓✓ tak dibalas… hari 30 (sad violin) → Nexus: alur + pengingat + pengisian berbantuan AI</t>
        </is>
      </c>
      <c r="K42" s="20" t="inlineStr">
        <is>
          <t>sad violin (synth) · jangkrik</t>
        </is>
      </c>
      <c r="L42" s="20" t="inlineStr">
        <is>
          <t>Pesan suara: efek "telepon"</t>
        </is>
      </c>
      <c r="M42" s="20" t="inlineStr">
        <is>
          <t>RoPA (isi otomatis berbantuan AI)</t>
        </is>
      </c>
      <c r="N42" s="20" t="inlineStr">
        <is>
          <t>privasimu.com</t>
        </is>
      </c>
      <c r="O42" s="20" t="inlineStr">
        <is>
          <t>fakta_produk: ropa (pengisian otomatis berbantuan AI)</t>
        </is>
      </c>
      <c r="P42" s="19" t="n">
        <v>9</v>
      </c>
      <c r="Q42" s="19" t="n">
        <v>7</v>
      </c>
      <c r="R42" s="19" t="n">
        <v>6</v>
      </c>
      <c r="S42" s="19" t="n">
        <v>8</v>
      </c>
      <c r="T42" s="23">
        <f>ROUND(Q42*W_AW+R42*W_CV+S42*W_SH,1)</f>
        <v/>
      </c>
      <c r="U42" s="19">
        <f>ROUND((P42+S42)/2,1)</f>
        <v/>
      </c>
      <c r="V42" s="19">
        <f>RANK(T42,$T$2:$T$49)</f>
        <v/>
      </c>
      <c r="W42" s="20" t="inlineStr">
        <is>
          <t>Rendah</t>
        </is>
      </c>
      <c r="X42" s="20" t="inlineStr">
        <is>
          <t>Rendah</t>
        </is>
      </c>
      <c r="Y42" s="20" t="inlineStr">
        <is>
          <t>Baru</t>
        </is>
      </c>
      <c r="Z42" s="20" t="inlineStr">
        <is>
          <t>Kapan saja</t>
        </is>
      </c>
      <c r="AA42" s="20">
        <f>T42+ROW()/100000</f>
        <v/>
      </c>
    </row>
    <row r="43" ht="120" customHeight="1">
      <c r="A43" s="9" t="inlineStr">
        <is>
          <t>A42</t>
        </is>
      </c>
      <c r="B43" s="11" t="inlineStr">
        <is>
          <t>Siapa yang punya akses ke data ini? Dun dun dun</t>
        </is>
      </c>
      <c r="C43" s="5" t="inlineStr">
        <is>
          <t>Dramatic reveal</t>
        </is>
      </c>
      <c r="D43" s="5" t="inlineStr">
        <is>
          <t>Tools</t>
        </is>
      </c>
      <c r="E43" s="5" t="inlineStr">
        <is>
          <t>Awareness</t>
        </is>
      </c>
      <c r="F43" s="5" t="inlineStr">
        <is>
          <t>IT, DPO</t>
        </is>
      </c>
      <c r="G43" s="5" t="inlineStr">
        <is>
          <t>Reels/LinkedIn 15 dtk</t>
        </is>
      </c>
      <c r="H43" s="5" t="inlineStr">
        <is>
          <t>"Siapa yang punya akses ke data pelanggan?"</t>
        </is>
      </c>
      <c r="I43" s="9" t="inlineStr">
        <is>
          <t>Anomali</t>
        </is>
      </c>
      <c r="J43" s="5" t="inlineStr">
        <is>
          <t>Daftar akses membengkak ("akun magang 2019 masih aktif") dun dun dun → log audit Nexus untuk aktor manusia &amp; AI</t>
        </is>
      </c>
      <c r="K43" s="5" t="inlineStr">
        <is>
          <t>dun dun dun</t>
        </is>
      </c>
      <c r="L43" s="5" t="inlineStr">
        <is>
          <t>—</t>
        </is>
      </c>
      <c r="M43" s="5" t="inlineStr">
        <is>
          <t>Log audit</t>
        </is>
      </c>
      <c r="N43" s="5" t="inlineStr">
        <is>
          <t>Minta demo</t>
        </is>
      </c>
      <c r="O43" s="5" t="inlineStr">
        <is>
          <t>fakta_produk: platform (log audit), dukungan PPDP</t>
        </is>
      </c>
      <c r="P43" s="9" t="n">
        <v>7</v>
      </c>
      <c r="Q43" s="9" t="n">
        <v>6</v>
      </c>
      <c r="R43" s="9" t="n">
        <v>7</v>
      </c>
      <c r="S43" s="9" t="n">
        <v>6</v>
      </c>
      <c r="T43" s="26">
        <f>ROUND(Q43*W_AW+R43*W_CV+S43*W_SH,1)</f>
        <v/>
      </c>
      <c r="U43" s="9">
        <f>ROUND((P43+S43)/2,1)</f>
        <v/>
      </c>
      <c r="V43" s="9">
        <f>RANK(T43,$T$2:$T$49)</f>
        <v/>
      </c>
      <c r="W43" s="5" t="inlineStr">
        <is>
          <t>Rendah</t>
        </is>
      </c>
      <c r="X43" s="5" t="inlineStr">
        <is>
          <t>Rendah</t>
        </is>
      </c>
      <c r="Y43" s="5" t="inlineStr">
        <is>
          <t>Baru</t>
        </is>
      </c>
      <c r="Z43" s="5" t="inlineStr">
        <is>
          <t>Kapan saja</t>
        </is>
      </c>
      <c r="AA43" s="5">
        <f>T43+ROW()/100000</f>
        <v/>
      </c>
    </row>
    <row r="44" ht="120" customHeight="1">
      <c r="A44" s="19" t="inlineStr">
        <is>
          <t>A43</t>
        </is>
      </c>
      <c r="B44" s="21" t="inlineStr">
        <is>
          <t>−999 aura: kebiasaan data di kantor</t>
        </is>
      </c>
      <c r="C44" s="20" t="inlineStr">
        <is>
          <t>Poin aura (slang 2026)</t>
        </is>
      </c>
      <c r="D44" s="20" t="inlineStr">
        <is>
          <t>Brand / edukasi</t>
        </is>
      </c>
      <c r="E44" s="20" t="inlineStr">
        <is>
          <t>Share</t>
        </is>
      </c>
      <c r="F44" s="20" t="inlineStr">
        <is>
          <t>Karyawan</t>
        </is>
      </c>
      <c r="G44" s="20" t="inlineStr">
        <is>
          <t>TikTok/Reels 15 dtk</t>
        </is>
      </c>
      <c r="H44" s="20" t="inlineStr">
        <is>
          <t>"−999 aura: kirim KTP pelanggan lewat grup"</t>
        </is>
      </c>
      <c r="I44" s="19" t="inlineStr">
        <is>
          <t>Relate</t>
        </is>
      </c>
      <c r="J44" s="20" t="inlineStr">
        <is>
          <t>Rentetan −aura/+aura cepat → +1000 aura: pakai Nexus</t>
        </is>
      </c>
      <c r="K44" s="20" t="inlineStr">
        <is>
          <t>auraDown/auraUp · vine boom</t>
        </is>
      </c>
      <c r="L44" s="20" t="inlineStr">
        <is>
          <t>—</t>
        </is>
      </c>
      <c r="M44" s="20" t="inlineStr">
        <is>
          <t>Brand</t>
        </is>
      </c>
      <c r="N44" s="20" t="inlineStr">
        <is>
          <t>Aura kantormu berapa?</t>
        </is>
      </c>
      <c r="O44" s="20" t="inlineStr">
        <is>
          <t>—</t>
        </is>
      </c>
      <c r="P44" s="19" t="n">
        <v>9</v>
      </c>
      <c r="Q44" s="19" t="n">
        <v>9</v>
      </c>
      <c r="R44" s="19" t="n">
        <v>5</v>
      </c>
      <c r="S44" s="19" t="n">
        <v>9</v>
      </c>
      <c r="T44" s="23">
        <f>ROUND(Q44*W_AW+R44*W_CV+S44*W_SH,1)</f>
        <v/>
      </c>
      <c r="U44" s="19">
        <f>ROUND((P44+S44)/2,1)</f>
        <v/>
      </c>
      <c r="V44" s="19">
        <f>RANK(T44,$T$2:$T$49)</f>
        <v/>
      </c>
      <c r="W44" s="20" t="inlineStr">
        <is>
          <t>Rendah</t>
        </is>
      </c>
      <c r="X44" s="20" t="inlineStr">
        <is>
          <t>Rendah</t>
        </is>
      </c>
      <c r="Y44" s="20" t="inlineStr">
        <is>
          <t>Baru (kit N11)</t>
        </is>
      </c>
      <c r="Z44" s="20" t="inlineStr">
        <is>
          <t>Okt 2026</t>
        </is>
      </c>
      <c r="AA44" s="20">
        <f>T44+ROW()/100000</f>
        <v/>
      </c>
    </row>
    <row r="45" ht="120" customHeight="1">
      <c r="A45" s="9" t="inlineStr">
        <is>
          <t>A44</t>
        </is>
      </c>
      <c r="B45" s="11" t="inlineStr">
        <is>
          <t>Cooked vs chill: jam 3 pagi</t>
        </is>
      </c>
      <c r="C45" s="5" t="inlineStr">
        <is>
          <t>Split-screen</t>
        </is>
      </c>
      <c r="D45" s="5" t="inlineStr">
        <is>
          <t>Tools</t>
        </is>
      </c>
      <c r="E45" s="5" t="inlineStr">
        <is>
          <t>Konversi</t>
        </is>
      </c>
      <c r="F45" s="5" t="inlineStr">
        <is>
          <t>DPO, CISO</t>
        </is>
      </c>
      <c r="G45" s="5" t="inlineStr">
        <is>
          <t>Reels/LinkedIn 15 dtk</t>
        </is>
      </c>
      <c r="H45" s="5" t="inlineStr">
        <is>
          <t>"Jam 3 pagi, insiden. DPO A vs DPO B:"</t>
        </is>
      </c>
      <c r="I45" s="9" t="inlineStr">
        <is>
          <t>Relate</t>
        </is>
      </c>
      <c r="J45" s="5" t="inlineStr">
        <is>
          <t>Kiri: cooked (tanpa alur) "FAAAH" / kanan: chill (checklist &amp; templat siap di Nexus)</t>
        </is>
      </c>
      <c r="K45" s="5" t="inlineStr">
        <is>
          <t>"FAAAH" (rekam tim) · centang</t>
        </is>
      </c>
      <c r="L45" s="5" t="inlineStr">
        <is>
          <t>—</t>
        </is>
      </c>
      <c r="M45" s="5" t="inlineStr">
        <is>
          <t>Manajemen Insiden</t>
        </is>
      </c>
      <c r="N45" s="5" t="inlineStr">
        <is>
          <t>Minta demo</t>
        </is>
      </c>
      <c r="O45" s="5" t="inlineStr">
        <is>
          <t>fakta_produk: breach (checklist &amp; linimasa otomatis)</t>
        </is>
      </c>
      <c r="P45" s="9" t="n">
        <v>8</v>
      </c>
      <c r="Q45" s="9" t="n">
        <v>8</v>
      </c>
      <c r="R45" s="9" t="n">
        <v>8</v>
      </c>
      <c r="S45" s="9" t="n">
        <v>7</v>
      </c>
      <c r="T45" s="26">
        <f>ROUND(Q45*W_AW+R45*W_CV+S45*W_SH,1)</f>
        <v/>
      </c>
      <c r="U45" s="9">
        <f>ROUND((P45+S45)/2,1)</f>
        <v/>
      </c>
      <c r="V45" s="9">
        <f>RANK(T45,$T$2:$T$49)</f>
        <v/>
      </c>
      <c r="W45" s="5" t="inlineStr">
        <is>
          <t>Rendah</t>
        </is>
      </c>
      <c r="X45" s="5" t="inlineStr">
        <is>
          <t>Rendah</t>
        </is>
      </c>
      <c r="Y45" s="5" t="inlineStr">
        <is>
          <t>Baru</t>
        </is>
      </c>
      <c r="Z45" s="5" t="inlineStr">
        <is>
          <t>Nov 2026</t>
        </is>
      </c>
      <c r="AA45" s="5">
        <f>T45+ROW()/100000</f>
        <v/>
      </c>
    </row>
    <row r="46" ht="120" customHeight="1">
      <c r="A46" s="19" t="inlineStr">
        <is>
          <t>A45</t>
        </is>
      </c>
      <c r="B46" s="21" t="inlineStr">
        <is>
          <t>Dasar pemrosesannya apa? "Adalah pokoknya."</t>
        </is>
      </c>
      <c r="C46" s="20" t="inlineStr">
        <is>
          <t>Frasa viral "adalah pokoknya" (2026)</t>
        </is>
      </c>
      <c r="D46" s="20" t="inlineStr">
        <is>
          <t>Edukasi + Tools</t>
        </is>
      </c>
      <c r="E46" s="20" t="inlineStr">
        <is>
          <t>Awareness + Share</t>
        </is>
      </c>
      <c r="F46" s="20" t="inlineStr">
        <is>
          <t>Marketing, product, DPO</t>
        </is>
      </c>
      <c r="G46" s="20" t="inlineStr">
        <is>
          <t>TikTok/Reels 15–20 dtk</t>
        </is>
      </c>
      <c r="H46" s="20" t="inlineStr">
        <is>
          <t>"Dasar pemrosesannya apa?" "Adalah pokoknya."</t>
        </is>
      </c>
      <c r="I46" s="19" t="inlineStr">
        <is>
          <t>Logika dipatahkan</t>
        </is>
      </c>
      <c r="J46" s="20" t="inlineStr">
        <is>
          <t>"FAAAH" → 6 dasar pemrosesan UU PDP → wizard RoPA menanyakannya satu per satu</t>
        </is>
      </c>
      <c r="K46" s="20" t="inlineStr">
        <is>
          <t>"FAAAH" (rekam tim) · pop ×6</t>
        </is>
      </c>
      <c r="L46" s="20" t="inlineStr">
        <is>
          <t>—</t>
        </is>
      </c>
      <c r="M46" s="20" t="inlineStr">
        <is>
          <t>Wizard RoPA</t>
        </is>
      </c>
      <c r="N46" s="20" t="inlineStr">
        <is>
          <t>Simpan buat referensi</t>
        </is>
      </c>
      <c r="O46" s="20" t="inlineStr">
        <is>
          <t>UU PDP Ps. 20 ayat (2): 6 dasar pemrosesan</t>
        </is>
      </c>
      <c r="P46" s="19" t="n">
        <v>8</v>
      </c>
      <c r="Q46" s="19" t="n">
        <v>8</v>
      </c>
      <c r="R46" s="19" t="n">
        <v>6</v>
      </c>
      <c r="S46" s="19" t="n">
        <v>8</v>
      </c>
      <c r="T46" s="23">
        <f>ROUND(Q46*W_AW+R46*W_CV+S46*W_SH,1)</f>
        <v/>
      </c>
      <c r="U46" s="19">
        <f>ROUND((P46+S46)/2,1)</f>
        <v/>
      </c>
      <c r="V46" s="19">
        <f>RANK(T46,$T$2:$T$49)</f>
        <v/>
      </c>
      <c r="W46" s="20" t="inlineStr">
        <is>
          <t>Rendah</t>
        </is>
      </c>
      <c r="X46" s="20" t="inlineStr">
        <is>
          <t>Rendah</t>
        </is>
      </c>
      <c r="Y46" s="20" t="inlineStr">
        <is>
          <t>Baru</t>
        </is>
      </c>
      <c r="Z46" s="20" t="inlineStr">
        <is>
          <t>Kapan saja</t>
        </is>
      </c>
      <c r="AA46" s="20">
        <f>T46+ROW()/100000</f>
        <v/>
      </c>
    </row>
    <row r="47" ht="120" customHeight="1">
      <c r="A47" s="9" t="inlineStr">
        <is>
          <t>A46</t>
        </is>
      </c>
      <c r="B47" s="11" t="inlineStr">
        <is>
          <t>5 tanda perusahaanmu belum siap PP 33</t>
        </is>
      </c>
      <c r="C47" s="5" t="inlineStr">
        <is>
          <t>Carousel LinkedIn</t>
        </is>
      </c>
      <c r="D47" s="5" t="inlineStr">
        <is>
          <t>Konsultasi</t>
        </is>
      </c>
      <c r="E47" s="5" t="inlineStr">
        <is>
          <t>Konversi</t>
        </is>
      </c>
      <c r="F47" s="5" t="inlineStr">
        <is>
          <t>Direksi, DPO</t>
        </is>
      </c>
      <c r="G47" s="5" t="inlineStr">
        <is>
          <t>Carousel 6 slide</t>
        </is>
      </c>
      <c r="H47" s="5" t="inlineStr">
        <is>
          <t>"5 tanda perusahaanmu belum siap PP 33"</t>
        </is>
      </c>
      <c r="I47" s="9" t="inlineStr">
        <is>
          <t>Relate</t>
        </is>
      </c>
      <c r="J47" s="5" t="inlineStr">
        <is>
          <t>5 tanda + solusi → CTA</t>
        </is>
      </c>
      <c r="K47" s="5" t="inlineStr">
        <is>
          <t>—</t>
        </is>
      </c>
      <c r="L47" s="5" t="inlineStr">
        <is>
          <t>—</t>
        </is>
      </c>
      <c r="M47" s="5" t="inlineStr">
        <is>
          <t>GAP, program siap PP 33</t>
        </is>
      </c>
      <c r="N47" s="5" t="inlineStr">
        <is>
          <t>Start Pre Check (gratis)</t>
        </is>
      </c>
      <c r="O47" s="5" t="inlineStr">
        <is>
          <t>PP 33/2026 (225 pasal), berlaku 16 Jan 2027</t>
        </is>
      </c>
      <c r="P47" s="9" t="n">
        <v>7</v>
      </c>
      <c r="Q47" s="9" t="n">
        <v>6</v>
      </c>
      <c r="R47" s="9" t="n">
        <v>8</v>
      </c>
      <c r="S47" s="9" t="n">
        <v>7</v>
      </c>
      <c r="T47" s="26">
        <f>ROUND(Q47*W_AW+R47*W_CV+S47*W_SH,1)</f>
        <v/>
      </c>
      <c r="U47" s="9">
        <f>ROUND((P47+S47)/2,1)</f>
        <v/>
      </c>
      <c r="V47" s="9">
        <f>RANK(T47,$T$2:$T$49)</f>
        <v/>
      </c>
      <c r="W47" s="5" t="inlineStr">
        <is>
          <t>Rendah</t>
        </is>
      </c>
      <c r="X47" s="5" t="inlineStr">
        <is>
          <t>Rendah</t>
        </is>
      </c>
      <c r="Y47" s="5" t="inlineStr">
        <is>
          <t>Baru</t>
        </is>
      </c>
      <c r="Z47" s="5" t="inlineStr">
        <is>
          <t>Nov 2026</t>
        </is>
      </c>
      <c r="AA47" s="5">
        <f>T47+ROW()/100000</f>
        <v/>
      </c>
    </row>
    <row r="48" ht="120" customHeight="1">
      <c r="A48" s="19" t="inlineStr">
        <is>
          <t>A47</t>
        </is>
      </c>
      <c r="B48" s="21" t="inlineStr">
        <is>
          <t>Roasting RoPA (live)</t>
        </is>
      </c>
      <c r="C48" s="20" t="inlineStr">
        <is>
          <t>Roasting (live/webinar) + klip</t>
        </is>
      </c>
      <c r="D48" s="20" t="inlineStr">
        <is>
          <t>Konsultasi</t>
        </is>
      </c>
      <c r="E48" s="20" t="inlineStr">
        <is>
          <t>Konversi + Share</t>
        </is>
      </c>
      <c r="F48" s="20" t="inlineStr">
        <is>
          <t>DPO, legal</t>
        </is>
      </c>
      <c r="G48" s="20" t="inlineStr">
        <is>
          <t>Live 45–60 mnt + klip 30 dtk</t>
        </is>
      </c>
      <c r="H48" s="20" t="inlineStr">
        <is>
          <t>"Kirim RoPA versi dummy-mu, kami roasting live"</t>
        </is>
      </c>
      <c r="I48" s="19" t="inlineStr">
        <is>
          <t>Reverse psychology</t>
        </is>
      </c>
      <c r="J48" s="20" t="inlineStr">
        <is>
          <t>Konsultan Privasimu me-review contoh RoPA anonim dengan humor → tunjukkan versi Nexus</t>
        </is>
      </c>
      <c r="K48" s="20" t="inlineStr">
        <is>
          <t>live</t>
        </is>
      </c>
      <c r="L48" s="20" t="inlineStr">
        <is>
          <t>—</t>
        </is>
      </c>
      <c r="M48" s="20" t="inlineStr">
        <is>
          <t>Konsultasi + RoPA</t>
        </is>
      </c>
      <c r="N48" s="20" t="inlineStr">
        <is>
          <t>Daftar sesi berikutnya</t>
        </is>
      </c>
      <c r="O48" s="20" t="inlineStr">
        <is>
          <t>—</t>
        </is>
      </c>
      <c r="P48" s="19" t="n">
        <v>8</v>
      </c>
      <c r="Q48" s="19" t="n">
        <v>7</v>
      </c>
      <c r="R48" s="19" t="n">
        <v>9</v>
      </c>
      <c r="S48" s="19" t="n">
        <v>8</v>
      </c>
      <c r="T48" s="23">
        <f>ROUND(Q48*W_AW+R48*W_CV+S48*W_SH,1)</f>
        <v/>
      </c>
      <c r="U48" s="19">
        <f>ROUND((P48+S48)/2,1)</f>
        <v/>
      </c>
      <c r="V48" s="19">
        <f>RANK(T48,$T$2:$T$49)</f>
        <v/>
      </c>
      <c r="W48" s="20" t="inlineStr">
        <is>
          <t>Tinggi</t>
        </is>
      </c>
      <c r="X48" s="20" t="inlineStr">
        <is>
          <t>Sedang. WAJIB data dummy/anonim; peserta setuju direkam</t>
        </is>
      </c>
      <c r="Y48" s="20" t="inlineStr">
        <is>
          <t>Baru</t>
        </is>
      </c>
      <c r="Z48" s="20" t="inlineStr">
        <is>
          <t>Nov–Des 2026</t>
        </is>
      </c>
      <c r="AA48" s="20">
        <f>T48+ROW()/100000</f>
        <v/>
      </c>
    </row>
    <row r="49" ht="120" customHeight="1">
      <c r="A49" s="9" t="inlineStr">
        <is>
          <t>A48</t>
        </is>
      </c>
      <c r="B49" s="11" t="inlineStr">
        <is>
          <t>#RoPA60Detik challenge</t>
        </is>
      </c>
      <c r="C49" s="5" t="inlineStr">
        <is>
          <t>Speedrun challenge</t>
        </is>
      </c>
      <c r="D49" s="5" t="inlineStr">
        <is>
          <t>Tools</t>
        </is>
      </c>
      <c r="E49" s="5" t="inlineStr">
        <is>
          <t>Awareness + Konversi</t>
        </is>
      </c>
      <c r="F49" s="5" t="inlineStr">
        <is>
          <t>DPO, legal</t>
        </is>
      </c>
      <c r="G49" s="5" t="inlineStr">
        <is>
          <t>TikTok/Reels 30–60 dtk</t>
        </is>
      </c>
      <c r="H49" s="5" t="inlineStr">
        <is>
          <t>"Bisa isi 1 RoPA dalam 60 detik?"</t>
        </is>
      </c>
      <c r="I49" s="9" t="inlineStr">
        <is>
          <t>Reverse psychology</t>
        </is>
      </c>
      <c r="J49" s="5" t="inlineStr">
        <is>
          <t>Timer 60 dtk: wizard RoPA + isi otomatis AI → selesai → tantang rekan</t>
        </is>
      </c>
      <c r="K49" s="5" t="inlineStr">
        <is>
          <t>detak jam · level up</t>
        </is>
      </c>
      <c r="L49" s="5" t="inlineStr">
        <is>
          <t>—</t>
        </is>
      </c>
      <c r="M49" s="5" t="inlineStr">
        <is>
          <t>RoPA (isi otomatis AI)</t>
        </is>
      </c>
      <c r="N49" s="5" t="inlineStr">
        <is>
          <t>Coba di demo, tag rekanmu</t>
        </is>
      </c>
      <c r="O49" s="5" t="inlineStr">
        <is>
          <t>fakta_produk: ropa (isi otomatis AI). Catatan waktu HARUS diukur nyata sebelum diklaim</t>
        </is>
      </c>
      <c r="P49" s="9" t="n">
        <v>7</v>
      </c>
      <c r="Q49" s="9" t="n">
        <v>8</v>
      </c>
      <c r="R49" s="9" t="n">
        <v>8</v>
      </c>
      <c r="S49" s="9" t="n">
        <v>8</v>
      </c>
      <c r="T49" s="26">
        <f>ROUND(Q49*W_AW+R49*W_CV+S49*W_SH,1)</f>
        <v/>
      </c>
      <c r="U49" s="9">
        <f>ROUND((P49+S49)/2,1)</f>
        <v/>
      </c>
      <c r="V49" s="9">
        <f>RANK(T49,$T$2:$T$49)</f>
        <v/>
      </c>
      <c r="W49" s="5" t="inlineStr">
        <is>
          <t>Sedang (rekam layar demo)</t>
        </is>
      </c>
      <c r="X49" s="5" t="inlineStr">
        <is>
          <t>Sedang. Klaim waktu harus terukur</t>
        </is>
      </c>
      <c r="Y49" s="5" t="inlineStr">
        <is>
          <t>Baru</t>
        </is>
      </c>
      <c r="Z49" s="5" t="inlineStr">
        <is>
          <t>Nov 2026</t>
        </is>
      </c>
      <c r="AA49" s="5">
        <f>T49+ROW()/100000</f>
        <v/>
      </c>
    </row>
  </sheetData>
  <autoFilter ref="A1:Z49"/>
  <conditionalFormatting sqref="P2:P49">
    <cfRule type="colorScale" priority="1">
      <colorScale>
        <cfvo type="num" val="4"/>
        <cfvo type="num" val="7"/>
        <cfvo type="num" val="10"/>
        <color rgb="00F8696B"/>
        <color rgb="00FFEB84"/>
        <color rgb="0063BE7B"/>
      </colorScale>
    </cfRule>
  </conditionalFormatting>
  <conditionalFormatting sqref="Q2:Q49">
    <cfRule type="colorScale" priority="2">
      <colorScale>
        <cfvo type="num" val="4"/>
        <cfvo type="num" val="7"/>
        <cfvo type="num" val="10"/>
        <color rgb="00F8696B"/>
        <color rgb="00FFEB84"/>
        <color rgb="0063BE7B"/>
      </colorScale>
    </cfRule>
  </conditionalFormatting>
  <conditionalFormatting sqref="R2:R49">
    <cfRule type="colorScale" priority="3">
      <colorScale>
        <cfvo type="num" val="4"/>
        <cfvo type="num" val="7"/>
        <cfvo type="num" val="10"/>
        <color rgb="00F8696B"/>
        <color rgb="00FFEB84"/>
        <color rgb="0063BE7B"/>
      </colorScale>
    </cfRule>
  </conditionalFormatting>
  <conditionalFormatting sqref="S2:S49">
    <cfRule type="colorScale" priority="4">
      <colorScale>
        <cfvo type="num" val="4"/>
        <cfvo type="num" val="7"/>
        <cfvo type="num" val="10"/>
        <color rgb="00F8696B"/>
        <color rgb="00FFEB84"/>
        <color rgb="0063BE7B"/>
      </colorScale>
    </cfRule>
  </conditionalFormatting>
  <conditionalFormatting sqref="T2:T49">
    <cfRule type="colorScale" priority="5">
      <colorScale>
        <cfvo type="num" val="4"/>
        <cfvo type="num" val="7"/>
        <cfvo type="num" val="10"/>
        <color rgb="00F8696B"/>
        <color rgb="00FFEB84"/>
        <color rgb="0063BE7B"/>
      </colorScale>
    </cfRule>
  </conditionalFormatting>
  <conditionalFormatting sqref="U2:U49">
    <cfRule type="colorScale" priority="6">
      <colorScale>
        <cfvo type="num" val="4"/>
        <cfvo type="num" val="7"/>
        <cfvo type="num" val="10"/>
        <color rgb="00F8696B"/>
        <color rgb="00FFEB84"/>
        <color rgb="0063BE7B"/>
      </colorScale>
    </cfRule>
  </conditionalFormatting>
  <dataValidations count="5">
    <dataValidation sqref="P2:P49" showDropDown="0" showInputMessage="0" showErrorMessage="0" allowBlank="0" error="Skor 1–10" type="whole" operator="between">
      <formula1>1</formula1>
      <formula2>10</formula2>
    </dataValidation>
    <dataValidation sqref="Q2:Q49" showDropDown="0" showInputMessage="0" showErrorMessage="0" allowBlank="0" error="Skor 1–10" type="whole" operator="between">
      <formula1>1</formula1>
      <formula2>10</formula2>
    </dataValidation>
    <dataValidation sqref="R2:R49" showDropDown="0" showInputMessage="0" showErrorMessage="0" allowBlank="0" error="Skor 1–10" type="whole" operator="between">
      <formula1>1</formula1>
      <formula2>10</formula2>
    </dataValidation>
    <dataValidation sqref="S2:S49" showDropDown="0" showInputMessage="0" showErrorMessage="0" allowBlank="0" error="Skor 1–10" type="whole" operator="between">
      <formula1>1</formula1>
      <formula2>10</formula2>
    </dataValidation>
    <dataValidation sqref="I2:I49" showDropDown="0" showInputMessage="0" showErrorMessage="0" allowBlank="1" type="list">
      <formula1>"Reverse psychology,Relate,Anomali,Logika dipatahkan"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2" customWidth="1" min="2" max="2"/>
    <col width="12" customWidth="1" min="3" max="3"/>
    <col width="50" customWidth="1" min="4" max="4"/>
    <col width="16" customWidth="1" min="5" max="5"/>
    <col width="56" customWidth="1" min="6" max="6"/>
  </cols>
  <sheetData>
    <row r="1">
      <c r="A1" s="10" t="inlineStr">
        <is>
          <t>Inventaris screenshot per modul</t>
        </is>
      </c>
    </row>
    <row r="2" ht="46" customHeight="1">
      <c r="A2" s="2" t="inlineStr">
        <is>
          <t>Semua path relatif dari D:\AI\privasimu. Screenshot = tampilan frontend LAMA (boleh dipakai). "Kurasi" = motion/assets/app (sudah crop &amp; blur, siap pakai; dibuat oleh motion/lib/app-shots.js). "Data demo" = dataroom/03-tenant (lebar 1264): Blur blok user sidebar [0,470,262,140] atau crop mulai x=262. "UI terbaru" = frontend/tmp/audit4 (lebar 1440, org uji &amp; banyak yang kosong): Blur nama org [300,22,200,26]; buang sidebar (x&lt;200).</t>
        </is>
      </c>
    </row>
    <row r="4" ht="34" customHeight="1">
      <c r="A4" s="3" t="inlineStr">
        <is>
          <t>Modul</t>
        </is>
      </c>
      <c r="B4" s="3" t="inlineStr">
        <is>
          <t>Path</t>
        </is>
      </c>
      <c r="C4" s="3" t="inlineStr">
        <is>
          <t>Sumber</t>
        </is>
      </c>
      <c r="D4" s="3" t="inlineStr">
        <is>
          <t>Isi</t>
        </is>
      </c>
      <c r="E4" s="3" t="inlineStr">
        <is>
          <t>Status</t>
        </is>
      </c>
      <c r="F4" s="3" t="inlineStr">
        <is>
          <t>Catatan crop / blur</t>
        </is>
      </c>
    </row>
    <row r="5" ht="38" customHeight="1">
      <c r="A5" s="11" t="inlineStr">
        <is>
          <t>Dasbor</t>
        </is>
      </c>
      <c r="B5" s="5" t="inlineStr">
        <is>
          <t>motion/assets/app/dashboard.png</t>
        </is>
      </c>
      <c r="C5" s="9" t="inlineStr">
        <is>
          <t>Kurasi</t>
        </is>
      </c>
      <c r="D5" s="5" t="inlineStr">
        <is>
          <t>Sambutan, skor GAP 81%, DSR, insiden, ringkasan modul</t>
        </is>
      </c>
      <c r="E5" s="22" t="inlineStr">
        <is>
          <t>Siap</t>
        </is>
      </c>
      <c r="F5" s="5" t="inlineStr">
        <is>
          <t>Sudah crop &amp; blur</t>
        </is>
      </c>
    </row>
    <row r="6" ht="38" customHeight="1">
      <c r="A6" s="11" t="inlineStr">
        <is>
          <t>Dasbor</t>
        </is>
      </c>
      <c r="B6" s="5" t="inlineStr">
        <is>
          <t>motion/assets/app/dashboard-postur.png</t>
        </is>
      </c>
      <c r="C6" s="9" t="inlineStr">
        <is>
          <t>Kurasi</t>
        </is>
      </c>
      <c r="D6" s="5" t="inlineStr">
        <is>
          <t>Tren bulanan + Compliance Score</t>
        </is>
      </c>
      <c r="E6" s="22" t="inlineStr">
        <is>
          <t>Siap</t>
        </is>
      </c>
      <c r="F6" s="5" t="inlineStr"/>
    </row>
    <row r="7" ht="38" customHeight="1">
      <c r="A7" s="11" t="inlineStr">
        <is>
          <t>Dasbor</t>
        </is>
      </c>
      <c r="B7" s="5" t="inlineStr">
        <is>
          <t>motion/assets/app/dashboard-risiko.png</t>
        </is>
      </c>
      <c r="C7" s="9" t="inlineStr">
        <is>
          <t>Kurasi</t>
        </is>
      </c>
      <c r="D7" s="5" t="inlineStr">
        <is>
          <t>Heatmap DPIA 5×5 + Top Risks</t>
        </is>
      </c>
      <c r="E7" s="22" t="inlineStr">
        <is>
          <t>Siap</t>
        </is>
      </c>
      <c r="F7" s="5" t="inlineStr"/>
    </row>
    <row r="8" ht="38" customHeight="1">
      <c r="A8" s="11" t="inlineStr">
        <is>
          <t>Dasbor</t>
        </is>
      </c>
      <c r="B8" s="5" t="inlineStr">
        <is>
          <t>motion/assets/app/dashboard-sla.png</t>
        </is>
      </c>
      <c r="C8" s="9" t="inlineStr">
        <is>
          <t>Kurasi</t>
        </is>
      </c>
      <c r="D8" s="5" t="inlineStr">
        <is>
          <t>Waktu respons DSR, linimasa insiden, adopsi consent</t>
        </is>
      </c>
      <c r="E8" s="22" t="inlineStr">
        <is>
          <t>Siap</t>
        </is>
      </c>
      <c r="F8" s="5" t="inlineStr"/>
    </row>
    <row r="9" ht="38" customHeight="1">
      <c r="A9" s="11" t="inlineStr">
        <is>
          <t>Postur privasi</t>
        </is>
      </c>
      <c r="B9" s="5" t="inlineStr">
        <is>
          <t>frontend/tmp/audit4/security.png</t>
        </is>
      </c>
      <c r="C9" s="9" t="inlineStr">
        <is>
          <t>UI terbaru</t>
        </is>
      </c>
      <c r="D9" s="5" t="inlineStr">
        <is>
          <t>Privacy Posture Score 56 "Cukup", 3 lapisan, tren 30 hari</t>
        </is>
      </c>
      <c r="E9" s="34" t="inlineStr">
        <is>
          <t>Perlu blur</t>
        </is>
      </c>
      <c r="F9" s="5" t="inlineStr">
        <is>
          <t>Blur nama org [300,22,200,26]; buang sidebar (x&lt;200)</t>
        </is>
      </c>
    </row>
    <row r="10" ht="38" customHeight="1">
      <c r="A10" s="11" t="inlineStr">
        <is>
          <t>Postur privasi</t>
        </is>
      </c>
      <c r="B10" s="5" t="inlineStr">
        <is>
          <t>dataroom/03-tenant/security/01-overview.png</t>
        </is>
      </c>
      <c r="C10" s="9" t="inlineStr">
        <is>
          <t>Data demo</t>
        </is>
      </c>
      <c r="D10" s="5" t="inlineStr">
        <is>
          <t>Skor 33 "Critical" (cocok untuk adegan "masalah")</t>
        </is>
      </c>
      <c r="E10" s="34" t="inlineStr">
        <is>
          <t>Perlu blur</t>
        </is>
      </c>
      <c r="F10" s="5" t="inlineStr">
        <is>
          <t>Blur blok user sidebar [0,470,262,140] atau crop mulai x=262</t>
        </is>
      </c>
    </row>
    <row r="11" ht="38" customHeight="1">
      <c r="A11" s="11" t="inlineStr">
        <is>
          <t>GAP</t>
        </is>
      </c>
      <c r="B11" s="5" t="inlineStr">
        <is>
          <t>dataroom/03-tenant/gap-assessment/01-overview.png</t>
        </is>
      </c>
      <c r="C11" s="9" t="inlineStr">
        <is>
          <t>Data demo</t>
        </is>
      </c>
      <c r="D11" s="5" t="inlineStr">
        <is>
          <t>4 asesmen, skor 81% &amp; 73%, grafik</t>
        </is>
      </c>
      <c r="E11" s="34" t="inlineStr">
        <is>
          <t>Perlu blur</t>
        </is>
      </c>
      <c r="F11" s="5" t="inlineStr">
        <is>
          <t>Blur blok user sidebar [0,470,262,140] atau crop mulai x=262</t>
        </is>
      </c>
    </row>
    <row r="12" ht="38" customHeight="1">
      <c r="A12" s="11" t="inlineStr">
        <is>
          <t>GAP</t>
        </is>
      </c>
      <c r="B12" s="5" t="inlineStr">
        <is>
          <t>motion/assets/app/gap-hasil.png</t>
        </is>
      </c>
      <c r="C12" s="9" t="inlineStr">
        <is>
          <t>Kurasi</t>
        </is>
      </c>
      <c r="D12" s="5" t="inlineStr">
        <is>
          <t>Hasil 81% + statistik per area</t>
        </is>
      </c>
      <c r="E12" s="22" t="inlineStr">
        <is>
          <t>Siap</t>
        </is>
      </c>
      <c r="F12" s="5" t="inlineStr"/>
    </row>
    <row r="13" ht="38" customHeight="1">
      <c r="A13" s="11" t="inlineStr">
        <is>
          <t>GAP</t>
        </is>
      </c>
      <c r="B13" s="5" t="inlineStr">
        <is>
          <t>motion/assets/app/gap-rekomendasi.png</t>
        </is>
      </c>
      <c r="C13" s="9" t="inlineStr">
        <is>
          <t>Kurasi</t>
        </is>
      </c>
      <c r="D13" s="5" t="inlineStr">
        <is>
          <t>Rekomendasi per pasal + AI Remediation Plan</t>
        </is>
      </c>
      <c r="E13" s="22" t="inlineStr">
        <is>
          <t>Siap</t>
        </is>
      </c>
      <c r="F13" s="5" t="inlineStr"/>
    </row>
    <row r="14" ht="38" customHeight="1">
      <c r="A14" s="11" t="inlineStr">
        <is>
          <t>Maturity</t>
        </is>
      </c>
      <c r="B14" s="5" t="inlineStr">
        <is>
          <t>dataroom/03-tenant/maturity/02-recheck.png</t>
        </is>
      </c>
      <c r="C14" s="9" t="inlineStr">
        <is>
          <t>Data demo</t>
        </is>
      </c>
      <c r="D14" s="5" t="inlineStr">
        <is>
          <t>Level 3 – Managed, skor domain, tren</t>
        </is>
      </c>
      <c r="E14" s="34" t="inlineStr">
        <is>
          <t>Perlu blur</t>
        </is>
      </c>
      <c r="F14" s="5" t="inlineStr">
        <is>
          <t>Blur blok user sidebar [0,470,262,140] atau crop mulai x=262</t>
        </is>
      </c>
    </row>
    <row r="15" ht="38" customHeight="1">
      <c r="A15" s="11" t="inlineStr">
        <is>
          <t>Maturity</t>
        </is>
      </c>
      <c r="B15" s="5" t="inlineStr">
        <is>
          <t>frontend/tmp/audit4/maturity.png</t>
        </is>
      </c>
      <c r="C15" s="9" t="inlineStr">
        <is>
          <t>UI terbaru</t>
        </is>
      </c>
      <c r="D15" s="5" t="inlineStr">
        <is>
          <t>Kosong ("Belum ada assessment")</t>
        </is>
      </c>
      <c r="E15" s="35" t="inlineStr">
        <is>
          <t>Kosong</t>
        </is>
      </c>
      <c r="F15" s="5" t="inlineStr">
        <is>
          <t>Jangan dipakai</t>
        </is>
      </c>
    </row>
    <row r="16" ht="38" customHeight="1">
      <c r="A16" s="11" t="inlineStr">
        <is>
          <t>RoPA</t>
        </is>
      </c>
      <c r="B16" s="5" t="inlineStr">
        <is>
          <t>motion/assets/app/ropa-baru.png</t>
        </is>
      </c>
      <c r="C16" s="9" t="inlineStr">
        <is>
          <t>Kurasi</t>
        </is>
      </c>
      <c r="D16" s="5" t="inlineStr">
        <is>
          <t>Modal Buat RoPA Baru</t>
        </is>
      </c>
      <c r="E16" s="22" t="inlineStr">
        <is>
          <t>Siap</t>
        </is>
      </c>
      <c r="F16" s="5" t="inlineStr"/>
    </row>
    <row r="17" ht="38" customHeight="1">
      <c r="A17" s="11" t="inlineStr">
        <is>
          <t>RoPA</t>
        </is>
      </c>
      <c r="B17" s="5" t="inlineStr">
        <is>
          <t>motion/assets/app/ropa-data-spesifik.png</t>
        </is>
      </c>
      <c r="C17" s="9" t="inlineStr">
        <is>
          <t>Kurasi</t>
        </is>
      </c>
      <c r="D17" s="5" t="inlineStr">
        <is>
          <t>Daftar data pribadi spesifik</t>
        </is>
      </c>
      <c r="E17" s="22" t="inlineStr">
        <is>
          <t>Siap</t>
        </is>
      </c>
      <c r="F17" s="5" t="inlineStr"/>
    </row>
    <row r="18" ht="38" customHeight="1">
      <c r="A18" s="11" t="inlineStr">
        <is>
          <t>RoPA</t>
        </is>
      </c>
      <c r="B18" s="5" t="inlineStr">
        <is>
          <t>motion/assets/app/ropa-tersimpan.png</t>
        </is>
      </c>
      <c r="C18" s="9" t="inlineStr">
        <is>
          <t>Kurasi</t>
        </is>
      </c>
      <c r="D18" s="5" t="inlineStr">
        <is>
          <t>Notifikasi tersimpan + daftar</t>
        </is>
      </c>
      <c r="E18" s="22" t="inlineStr">
        <is>
          <t>Siap</t>
        </is>
      </c>
      <c r="F18" s="5" t="inlineStr"/>
    </row>
    <row r="19" ht="38" customHeight="1">
      <c r="A19" s="11" t="inlineStr">
        <is>
          <t>RoPA</t>
        </is>
      </c>
      <c r="B19" s="5" t="inlineStr">
        <is>
          <t>motion/assets/app/ropa-list-baru.png</t>
        </is>
      </c>
      <c r="C19" s="9" t="inlineStr">
        <is>
          <t>Kurasi</t>
        </is>
      </c>
      <c r="D19" s="5" t="inlineStr">
        <is>
          <t>Register RoPA (UI terbaru)</t>
        </is>
      </c>
      <c r="E19" s="22" t="inlineStr">
        <is>
          <t>Siap</t>
        </is>
      </c>
      <c r="F19" s="5" t="inlineStr"/>
    </row>
    <row r="20" ht="38" customHeight="1">
      <c r="A20" s="11" t="inlineStr">
        <is>
          <t>RoPA</t>
        </is>
      </c>
      <c r="B20" s="5" t="inlineStr">
        <is>
          <t>dataroom/03-tenant/ropa/03-review-mode-waiting.png</t>
        </is>
      </c>
      <c r="C20" s="9" t="inlineStr">
        <is>
          <t>Data demo</t>
        </is>
      </c>
      <c r="D20" s="5" t="inlineStr">
        <is>
          <t>Detail pemrosesan (menunggu) + DPO/Team</t>
        </is>
      </c>
      <c r="E20" s="34" t="inlineStr">
        <is>
          <t>Perlu crop</t>
        </is>
      </c>
      <c r="F20" s="5" t="inlineStr">
        <is>
          <t>Bagian DPO/Team memuat EMAIL: crop hanya [262,40,1002,420]</t>
        </is>
      </c>
    </row>
    <row r="21" ht="38" customHeight="1">
      <c r="A21" s="11" t="inlineStr">
        <is>
          <t>RoPA</t>
        </is>
      </c>
      <c r="B21" s="5" t="inlineStr">
        <is>
          <t>dataroom/03-tenant/ropa/16-export-pdf-result.png</t>
        </is>
      </c>
      <c r="C21" s="9" t="inlineStr">
        <is>
          <t>Data demo</t>
        </is>
      </c>
      <c r="D21" s="5" t="inlineStr">
        <is>
          <t>Daftar RoPA + progres &amp; level risiko</t>
        </is>
      </c>
      <c r="E21" s="34" t="inlineStr">
        <is>
          <t>Perlu blur</t>
        </is>
      </c>
      <c r="F21" s="5" t="inlineStr">
        <is>
          <t>Blur blok user sidebar [0,470,262,140] atau crop mulai x=262</t>
        </is>
      </c>
    </row>
    <row r="22" ht="38" customHeight="1">
      <c r="A22" s="11" t="inlineStr">
        <is>
          <t>RoPA</t>
        </is>
      </c>
      <c r="B22" s="5" t="inlineStr">
        <is>
          <t>frontend/tmp/audit4/vendor-risk__ropa-pihak-ketiga.png</t>
        </is>
      </c>
      <c r="C22" s="9" t="inlineStr">
        <is>
          <t>UI terbaru</t>
        </is>
      </c>
      <c r="D22" s="5" t="inlineStr">
        <is>
          <t>Minta pihak ketiga mengisi RoPA (tautan)</t>
        </is>
      </c>
      <c r="E22" s="34" t="inlineStr">
        <is>
          <t>Perlu blur</t>
        </is>
      </c>
      <c r="F22" s="5" t="inlineStr">
        <is>
          <t>Blur nama org [300,22,200,26]; buang sidebar (x&lt;200)</t>
        </is>
      </c>
    </row>
    <row r="23" ht="38" customHeight="1">
      <c r="A23" s="11" t="inlineStr">
        <is>
          <t>DPIA</t>
        </is>
      </c>
      <c r="B23" s="5" t="inlineStr">
        <is>
          <t>motion/assets/app/dpia-list.png</t>
        </is>
      </c>
      <c r="C23" s="9" t="inlineStr">
        <is>
          <t>Kurasi</t>
        </is>
      </c>
      <c r="D23" s="5" t="inlineStr">
        <is>
          <t>Daftar DPIA</t>
        </is>
      </c>
      <c r="E23" s="22" t="inlineStr">
        <is>
          <t>Siap</t>
        </is>
      </c>
      <c r="F23" s="5" t="inlineStr"/>
    </row>
    <row r="24" ht="38" customHeight="1">
      <c r="A24" s="11" t="inlineStr">
        <is>
          <t>DPIA</t>
        </is>
      </c>
      <c r="B24" s="5" t="inlineStr">
        <is>
          <t>motion/assets/app/dpia-list-baru.png</t>
        </is>
      </c>
      <c r="C24" s="9" t="inlineStr">
        <is>
          <t>Kurasi</t>
        </is>
      </c>
      <c r="D24" s="5" t="inlineStr">
        <is>
          <t>Daftar DPIA (UI terbaru)</t>
        </is>
      </c>
      <c r="E24" s="22" t="inlineStr">
        <is>
          <t>Siap</t>
        </is>
      </c>
      <c r="F24" s="5" t="inlineStr"/>
    </row>
    <row r="25" ht="38" customHeight="1">
      <c r="A25" s="11" t="inlineStr">
        <is>
          <t>DPIA</t>
        </is>
      </c>
      <c r="B25" s="5" t="inlineStr">
        <is>
          <t>motion/assets/app/dpia-risiko.png</t>
        </is>
      </c>
      <c r="C25" s="9" t="inlineStr">
        <is>
          <t>Kurasi</t>
        </is>
      </c>
      <c r="D25" s="5" t="inlineStr">
        <is>
          <t>Wizard potensi risiko</t>
        </is>
      </c>
      <c r="E25" s="22" t="inlineStr">
        <is>
          <t>Siap</t>
        </is>
      </c>
      <c r="F25" s="5" t="inlineStr"/>
    </row>
    <row r="26" ht="38" customHeight="1">
      <c r="A26" s="11" t="inlineStr">
        <is>
          <t>DPIA</t>
        </is>
      </c>
      <c r="B26" s="5" t="inlineStr">
        <is>
          <t>dataroom/03-tenant/dpia/07-wizard-step4-audit.png</t>
        </is>
      </c>
      <c r="C26" s="9" t="inlineStr">
        <is>
          <t>Data demo</t>
        </is>
      </c>
      <c r="D26" s="5" t="inlineStr">
        <is>
          <t>Langkah audit + tombol "Lanjutkan dengan AI"</t>
        </is>
      </c>
      <c r="E26" s="34" t="inlineStr">
        <is>
          <t>Perlu blur</t>
        </is>
      </c>
      <c r="F26" s="5" t="inlineStr">
        <is>
          <t>Blur blok user sidebar [0,470,262,140] atau crop mulai x=262</t>
        </is>
      </c>
    </row>
    <row r="27" ht="38" customHeight="1">
      <c r="A27" s="11" t="inlineStr">
        <is>
          <t>Risk Treatment Plan</t>
        </is>
      </c>
      <c r="B27" s="5" t="inlineStr">
        <is>
          <t>dataroom/03-tenant/risk-treatment-plan/01-overview.png</t>
        </is>
      </c>
      <c r="C27" s="9" t="inlineStr">
        <is>
          <t>Data demo</t>
        </is>
      </c>
      <c r="D27" s="5" t="inlineStr">
        <is>
          <t>Tabel mitigasi (event, DPIA, prioritas, status)</t>
        </is>
      </c>
      <c r="E27" s="34" t="inlineStr">
        <is>
          <t>Perlu blur</t>
        </is>
      </c>
      <c r="F27" s="5" t="inlineStr">
        <is>
          <t>BLUR kolom Owner &amp; filter owner (nama orang). Blur blok user sidebar [0,470,262,140] atau crop mulai x=262</t>
        </is>
      </c>
    </row>
    <row r="28" ht="38" customHeight="1">
      <c r="A28" s="11" t="inlineStr">
        <is>
          <t>LIA</t>
        </is>
      </c>
      <c r="B28" s="5" t="inlineStr">
        <is>
          <t>dataroom/03-tenant/lia/01-overview.png</t>
        </is>
      </c>
      <c r="C28" s="9" t="inlineStr">
        <is>
          <t>Data demo</t>
        </is>
      </c>
      <c r="D28" s="5" t="inlineStr">
        <is>
          <t>Kosong (memuat)</t>
        </is>
      </c>
      <c r="E28" s="35" t="inlineStr">
        <is>
          <t>Kosong</t>
        </is>
      </c>
      <c r="F28" s="5" t="inlineStr">
        <is>
          <t>Jangan dipakai</t>
        </is>
      </c>
    </row>
    <row r="29" ht="38" customHeight="1">
      <c r="A29" s="11" t="inlineStr">
        <is>
          <t>LIA</t>
        </is>
      </c>
      <c r="B29" s="5" t="inlineStr">
        <is>
          <t>frontend/tmp/audit4/lia.png</t>
        </is>
      </c>
      <c r="C29" s="9" t="inlineStr">
        <is>
          <t>UI terbaru</t>
        </is>
      </c>
      <c r="D29" s="5" t="inlineStr">
        <is>
          <t>Header + subjudul (daftar kosong)</t>
        </is>
      </c>
      <c r="E29" s="34" t="inlineStr">
        <is>
          <t>Hanya header</t>
        </is>
      </c>
      <c r="F29" s="5" t="inlineStr">
        <is>
          <t>AMBIL SCREENSHOT BARU dengan 2–3 LIA contoh</t>
        </is>
      </c>
    </row>
    <row r="30" ht="38" customHeight="1">
      <c r="A30" s="11" t="inlineStr">
        <is>
          <t>TIA</t>
        </is>
      </c>
      <c r="B30" s="5" t="inlineStr">
        <is>
          <t>dataroom/03-tenant/tia/01-overview.png</t>
        </is>
      </c>
      <c r="C30" s="9" t="inlineStr">
        <is>
          <t>Data demo</t>
        </is>
      </c>
      <c r="D30" s="5" t="inlineStr">
        <is>
          <t>11 TIA, negara tujuan Jepang/Singapura, status</t>
        </is>
      </c>
      <c r="E30" s="34" t="inlineStr">
        <is>
          <t>Perlu blur</t>
        </is>
      </c>
      <c r="F30" s="5" t="inlineStr">
        <is>
          <t>Blur blok user sidebar [0,470,262,140] atau crop mulai x=262</t>
        </is>
      </c>
    </row>
    <row r="31" ht="38" customHeight="1">
      <c r="A31" s="11" t="inlineStr">
        <is>
          <t>Transfer lintas negara</t>
        </is>
      </c>
      <c r="B31" s="5" t="inlineStr">
        <is>
          <t>dataroom/03-tenant/cross-border/01-overview.png</t>
        </is>
      </c>
      <c r="C31" s="9" t="inlineStr">
        <is>
          <t>Data demo</t>
        </is>
      </c>
      <c r="D31" s="5" t="inlineStr">
        <is>
          <t>Register transfer, peta negara, skor TIA</t>
        </is>
      </c>
      <c r="E31" s="34" t="inlineStr">
        <is>
          <t>Perlu blur</t>
        </is>
      </c>
      <c r="F31" s="5" t="inlineStr">
        <is>
          <t>BLUR kolom Entitas Tujuan (ada merek penyedia cloud). Blur blok user sidebar [0,470,262,140] atau crop mulai x=262</t>
        </is>
      </c>
    </row>
    <row r="32" ht="38" customHeight="1">
      <c r="A32" s="11" t="inlineStr">
        <is>
          <t>DSR</t>
        </is>
      </c>
      <c r="B32" s="5" t="inlineStr">
        <is>
          <t>motion/assets/app/dsr-form.png</t>
        </is>
      </c>
      <c r="C32" s="9" t="inlineStr">
        <is>
          <t>Kurasi</t>
        </is>
      </c>
      <c r="D32" s="5" t="inlineStr">
        <is>
          <t>Modal Buat DSR (kanban diburamkan)</t>
        </is>
      </c>
      <c r="E32" s="22" t="inlineStr">
        <is>
          <t>Siap</t>
        </is>
      </c>
      <c r="F32" s="5" t="inlineStr"/>
    </row>
    <row r="33" ht="38" customHeight="1">
      <c r="A33" s="11" t="inlineStr">
        <is>
          <t>DSR</t>
        </is>
      </c>
      <c r="B33" s="5" t="inlineStr">
        <is>
          <t>motion/assets/app/dsr-detail.png</t>
        </is>
      </c>
      <c r="C33" s="9" t="inlineStr">
        <is>
          <t>Kurasi</t>
        </is>
      </c>
      <c r="D33" s="5" t="inlineStr">
        <is>
          <t>Header detail, pil "7h tersisa"</t>
        </is>
      </c>
      <c r="E33" s="22" t="inlineStr">
        <is>
          <t>Siap</t>
        </is>
      </c>
      <c r="F33" s="5" t="inlineStr"/>
    </row>
    <row r="34" ht="38" customHeight="1">
      <c r="A34" s="11" t="inlineStr">
        <is>
          <t>DSR</t>
        </is>
      </c>
      <c r="B34" s="5" t="inlineStr">
        <is>
          <t>dataroom/03-tenant/dsr/06-tab-scope.png</t>
        </is>
      </c>
      <c r="C34" s="9" t="inlineStr">
        <is>
          <t>Data demo</t>
        </is>
      </c>
      <c r="D34" s="5" t="inlineStr">
        <is>
          <t>Pilih sistem (scope)</t>
        </is>
      </c>
      <c r="E34" s="34" t="inlineStr">
        <is>
          <t>Perlu blur</t>
        </is>
      </c>
      <c r="F34" s="5" t="inlineStr">
        <is>
          <t>Blur blok user sidebar [0,470,262,140] atau crop mulai x=262</t>
        </is>
      </c>
    </row>
    <row r="35" ht="38" customHeight="1">
      <c r="A35" s="11" t="inlineStr">
        <is>
          <t>DSR</t>
        </is>
      </c>
      <c r="B35" s="5" t="inlineStr">
        <is>
          <t>dataroom/03-tenant/dsr/07-tab-sqlpack.png</t>
        </is>
      </c>
      <c r="C35" s="9" t="inlineStr">
        <is>
          <t>Data demo</t>
        </is>
      </c>
      <c r="D35" s="5" t="inlineStr">
        <is>
          <t>Generate SQL Pack</t>
        </is>
      </c>
      <c r="E35" s="34" t="inlineStr">
        <is>
          <t>Perlu blur</t>
        </is>
      </c>
      <c r="F35" s="5" t="inlineStr">
        <is>
          <t>Blur blok user sidebar [0,470,262,140] atau crop mulai x=262</t>
        </is>
      </c>
    </row>
    <row r="36" ht="38" customHeight="1">
      <c r="A36" s="11" t="inlineStr">
        <is>
          <t>DSR</t>
        </is>
      </c>
      <c r="B36" s="5" t="inlineStr">
        <is>
          <t>dataroom/03-tenant/dsr/09-tab-certificates.png</t>
        </is>
      </c>
      <c r="C36" s="9" t="inlineStr">
        <is>
          <t>Data demo</t>
        </is>
      </c>
      <c r="D36" s="5" t="inlineStr">
        <is>
          <t>Sertifikat pemohon &amp; internal</t>
        </is>
      </c>
      <c r="E36" s="34" t="inlineStr">
        <is>
          <t>Perlu blur</t>
        </is>
      </c>
      <c r="F36" s="5" t="inlineStr">
        <is>
          <t>Blur blok user sidebar [0,470,262,140] atau crop mulai x=262</t>
        </is>
      </c>
    </row>
    <row r="37" ht="38" customHeight="1">
      <c r="A37" s="11" t="inlineStr">
        <is>
          <t>DSR</t>
        </is>
      </c>
      <c r="B37" s="5" t="inlineStr">
        <is>
          <t>dataroom/03-tenant/dsr/01-overview.png</t>
        </is>
      </c>
      <c r="C37" s="9" t="inlineStr">
        <is>
          <t>Data demo</t>
        </is>
      </c>
      <c r="D37" s="5" t="inlineStr">
        <is>
          <t>Daftar tiket + aplikasi</t>
        </is>
      </c>
      <c r="E37" s="35" t="inlineStr">
        <is>
          <t>Jangan dipakai</t>
        </is>
      </c>
      <c r="F37" s="5" t="inlineStr">
        <is>
          <t>Ada nama merek bank nyata di daftar aplikasi</t>
        </is>
      </c>
    </row>
    <row r="38" ht="38" customHeight="1">
      <c r="A38" s="11" t="inlineStr">
        <is>
          <t>DSR</t>
        </is>
      </c>
      <c r="B38" s="5" t="inlineStr">
        <is>
          <t>frontend/tmp/audit4/dsr-apps.png</t>
        </is>
      </c>
      <c r="C38" s="9" t="inlineStr">
        <is>
          <t>UI terbaru</t>
        </is>
      </c>
      <c r="D38" s="5" t="inlineStr">
        <is>
          <t>Aplikasi DSR (1 baris "E2E App")</t>
        </is>
      </c>
      <c r="E38" s="34" t="inlineStr">
        <is>
          <t>Perlu blur</t>
        </is>
      </c>
      <c r="F38" s="5" t="inlineStr">
        <is>
          <t>Blur nama org [300,22,200,26]; buang sidebar (x&lt;200)</t>
        </is>
      </c>
    </row>
    <row r="39" ht="38" customHeight="1">
      <c r="A39" s="11" t="inlineStr">
        <is>
          <t>Consent</t>
        </is>
      </c>
      <c r="B39" s="5" t="inlineStr">
        <is>
          <t>dataroom/03-tenant/consent/01-overview.png</t>
        </is>
      </c>
      <c r="C39" s="9" t="inlineStr">
        <is>
          <t>Data demo</t>
        </is>
      </c>
      <c r="D39" s="5" t="inlineStr">
        <is>
          <t>Collection point + jumlah item</t>
        </is>
      </c>
      <c r="E39" s="34" t="inlineStr">
        <is>
          <t>Perlu blur</t>
        </is>
      </c>
      <c r="F39" s="5" t="inlineStr">
        <is>
          <t>BLUR kolom Domain. Blur blok user sidebar [0,470,262,140] atau crop mulai x=262</t>
        </is>
      </c>
    </row>
    <row r="40" ht="38" customHeight="1">
      <c r="A40" s="11" t="inlineStr">
        <is>
          <t>Consent</t>
        </is>
      </c>
      <c r="B40" s="5" t="inlineStr">
        <is>
          <t>dataroom/03-tenant/consent/03-embed-code.png</t>
        </is>
      </c>
      <c r="C40" s="9" t="inlineStr">
        <is>
          <t>Data demo</t>
        </is>
      </c>
      <c r="D40" s="5" t="inlineStr">
        <is>
          <t>Detail collection point, tab log/analytics/widget</t>
        </is>
      </c>
      <c r="E40" s="34" t="inlineStr">
        <is>
          <t>Perlu blur</t>
        </is>
      </c>
      <c r="F40" s="5" t="inlineStr">
        <is>
          <t>BLUR URL. Blur blok user sidebar [0,470,262,140] atau crop mulai x=262</t>
        </is>
      </c>
    </row>
    <row r="41" ht="38" customHeight="1">
      <c r="A41" s="11" t="inlineStr">
        <is>
          <t>Consent</t>
        </is>
      </c>
      <c r="B41" s="5" t="inlineStr">
        <is>
          <t>motion/assets/app/consent-detail.png</t>
        </is>
      </c>
      <c r="C41" s="9" t="inlineStr">
        <is>
          <t>Kurasi</t>
        </is>
      </c>
      <c r="D41" s="5" t="inlineStr">
        <is>
          <t>Integrasi: embed, preference center, API, webhook</t>
        </is>
      </c>
      <c r="E41" s="22" t="inlineStr">
        <is>
          <t>Siap</t>
        </is>
      </c>
      <c r="F41" s="5" t="inlineStr">
        <is>
          <t>API key &amp; user sudah diburamkan</t>
        </is>
      </c>
    </row>
    <row r="42" ht="38" customHeight="1">
      <c r="A42" s="11" t="inlineStr">
        <is>
          <t>Consent</t>
        </is>
      </c>
      <c r="B42" s="5" t="inlineStr">
        <is>
          <t>frontend/tmp/audit4/consent__preview.png</t>
        </is>
      </c>
      <c r="C42" s="9" t="inlineStr">
        <is>
          <t>UI terbaru</t>
        </is>
      </c>
      <c r="D42" s="5" t="inlineStr">
        <is>
          <t>Preview Cookie Banner &amp; Consent Form</t>
        </is>
      </c>
      <c r="E42" s="34" t="inlineStr">
        <is>
          <t>Perlu blur</t>
        </is>
      </c>
      <c r="F42" s="5" t="inlineStr">
        <is>
          <t>Blur nama org [300,22,200,26]; buang sidebar (x&lt;200)</t>
        </is>
      </c>
    </row>
    <row r="43" ht="38" customHeight="1">
      <c r="A43" s="11" t="inlineStr">
        <is>
          <t>Cookie</t>
        </is>
      </c>
      <c r="B43" s="5" t="inlineStr">
        <is>
          <t>dataroom/03-tenant/cookie/01-overview.png</t>
        </is>
      </c>
      <c r="C43" s="9" t="inlineStr">
        <is>
          <t>Data demo</t>
        </is>
      </c>
      <c r="D43" s="5" t="inlineStr">
        <is>
          <t>KPI 6 collection point, 43 item, 31 catatan + tabel</t>
        </is>
      </c>
      <c r="E43" s="34" t="inlineStr">
        <is>
          <t>Hanya KPI</t>
        </is>
      </c>
      <c r="F43" s="5" t="inlineStr">
        <is>
          <t>Tabel memuat nama layanan &amp; domain nyata: JANGAN tampilkan</t>
        </is>
      </c>
    </row>
    <row r="44" ht="38" customHeight="1">
      <c r="A44" s="11" t="inlineStr">
        <is>
          <t>Children Pro</t>
        </is>
      </c>
      <c r="B44" s="5" t="inlineStr">
        <is>
          <t>motion/assets/app/children-pro.png</t>
        </is>
      </c>
      <c r="C44" s="9" t="inlineStr">
        <is>
          <t>Kurasi</t>
        </is>
      </c>
      <c r="D44" s="5" t="inlineStr">
        <is>
          <t>Judul &amp; tab Kewenangan Wali/Menunggu/Peralihan</t>
        </is>
      </c>
      <c r="E44" s="22" t="inlineStr">
        <is>
          <t>Siap</t>
        </is>
      </c>
      <c r="F44" s="5" t="inlineStr"/>
    </row>
    <row r="45" ht="38" customHeight="1">
      <c r="A45" s="11" t="inlineStr">
        <is>
          <t>Children Pro</t>
        </is>
      </c>
      <c r="B45" s="5" t="inlineStr">
        <is>
          <t>frontend/tmp/audit4/consent-guardian.png</t>
        </is>
      </c>
      <c r="C45" s="9" t="inlineStr">
        <is>
          <t>UI terbaru</t>
        </is>
      </c>
      <c r="D45" s="5" t="inlineStr">
        <is>
          <t>Tab titik pengumpulan, wali, verifikasi, DSR anak (kosong)</t>
        </is>
      </c>
      <c r="E45" s="34" t="inlineStr">
        <is>
          <t>Hanya header</t>
        </is>
      </c>
      <c r="F45" s="5" t="inlineStr">
        <is>
          <t>AMBIL SCREENSHOT BARU dengan data fiktif</t>
        </is>
      </c>
    </row>
    <row r="46" ht="38" customHeight="1">
      <c r="A46" s="11" t="inlineStr">
        <is>
          <t>Inclusive Privacy</t>
        </is>
      </c>
      <c r="B46" s="5" t="inlineStr">
        <is>
          <t>motion/assets/app/inclusive-privacy.png</t>
        </is>
      </c>
      <c r="C46" s="9" t="inlineStr">
        <is>
          <t>Kurasi</t>
        </is>
      </c>
      <c r="D46" s="5" t="inlineStr">
        <is>
          <t>Judul &amp; tab</t>
        </is>
      </c>
      <c r="E46" s="22" t="inlineStr">
        <is>
          <t>Siap</t>
        </is>
      </c>
      <c r="F46" s="5" t="inlineStr"/>
    </row>
    <row r="47" ht="38" customHeight="1">
      <c r="A47" s="11" t="inlineStr">
        <is>
          <t>Inclusive Privacy</t>
        </is>
      </c>
      <c r="B47" s="5" t="inlineStr">
        <is>
          <t>frontend/tmp/audit4/consent-accessibility.png</t>
        </is>
      </c>
      <c r="C47" s="9" t="inlineStr">
        <is>
          <t>UI terbaru</t>
        </is>
      </c>
      <c r="D47" s="5" t="inlineStr">
        <is>
          <t>Tab aksesibilitas, DSR disabilitas (kosong)</t>
        </is>
      </c>
      <c r="E47" s="34" t="inlineStr">
        <is>
          <t>Hanya header</t>
        </is>
      </c>
      <c r="F47" s="5" t="inlineStr">
        <is>
          <t>AMBIL SCREENSHOT BARU</t>
        </is>
      </c>
    </row>
    <row r="48" ht="38" customHeight="1">
      <c r="A48" s="11" t="inlineStr">
        <is>
          <t>Insiden</t>
        </is>
      </c>
      <c r="B48" s="5" t="inlineStr">
        <is>
          <t>motion/assets/app/breach-detail.png</t>
        </is>
      </c>
      <c r="C48" s="9" t="inlineStr">
        <is>
          <t>Kurasi</t>
        </is>
      </c>
      <c r="D48" s="5" t="inlineStr">
        <is>
          <t>Detail insiden + stepper 5 fase</t>
        </is>
      </c>
      <c r="E48" s="22" t="inlineStr">
        <is>
          <t>Siap</t>
        </is>
      </c>
      <c r="F48" s="5" t="inlineStr"/>
    </row>
    <row r="49" ht="38" customHeight="1">
      <c r="A49" s="11" t="inlineStr">
        <is>
          <t>Insiden</t>
        </is>
      </c>
      <c r="B49" s="5" t="inlineStr">
        <is>
          <t>motion/assets/app/breach-fase.png</t>
        </is>
      </c>
      <c r="C49" s="9" t="inlineStr">
        <is>
          <t>Kurasi</t>
        </is>
      </c>
      <c r="D49" s="5" t="inlineStr">
        <is>
          <t>Fase 1: checklist</t>
        </is>
      </c>
      <c r="E49" s="22" t="inlineStr">
        <is>
          <t>Siap</t>
        </is>
      </c>
      <c r="F49" s="5" t="inlineStr"/>
    </row>
    <row r="50" ht="38" customHeight="1">
      <c r="A50" s="11" t="inlineStr">
        <is>
          <t>Insiden</t>
        </is>
      </c>
      <c r="B50" s="5" t="inlineStr">
        <is>
          <t>motion/assets/app/breach-aksi.png</t>
        </is>
      </c>
      <c r="C50" s="9" t="inlineStr">
        <is>
          <t>Kurasi</t>
        </is>
      </c>
      <c r="D50" s="5" t="inlineStr">
        <is>
          <t>Template, RACI, War Room, PICAPA, SIEM/SOAR, PDF</t>
        </is>
      </c>
      <c r="E50" s="22" t="inlineStr">
        <is>
          <t>Siap</t>
        </is>
      </c>
      <c r="F50" s="5" t="inlineStr"/>
    </row>
    <row r="51" ht="38" customHeight="1">
      <c r="A51" s="11" t="inlineStr">
        <is>
          <t>Insiden</t>
        </is>
      </c>
      <c r="B51" s="5" t="inlineStr">
        <is>
          <t>motion/assets/app/breach-ai.png</t>
        </is>
      </c>
      <c r="C51" s="9" t="inlineStr">
        <is>
          <t>Kurasi</t>
        </is>
      </c>
      <c r="D51" s="5" t="inlineStr">
        <is>
          <t>AI Incident Response Advisor</t>
        </is>
      </c>
      <c r="E51" s="22" t="inlineStr">
        <is>
          <t>Siap</t>
        </is>
      </c>
      <c r="F51" s="5" t="inlineStr"/>
    </row>
    <row r="52" ht="38" customHeight="1">
      <c r="A52" s="11" t="inlineStr">
        <is>
          <t>Insiden</t>
        </is>
      </c>
      <c r="B52" s="5" t="inlineStr">
        <is>
          <t>motion/assets/app/breach-list-baru.png</t>
        </is>
      </c>
      <c r="C52" s="9" t="inlineStr">
        <is>
          <t>Kurasi</t>
        </is>
      </c>
      <c r="D52" s="5" t="inlineStr">
        <is>
          <t>Daftar insiden (UI terbaru)</t>
        </is>
      </c>
      <c r="E52" s="22" t="inlineStr">
        <is>
          <t>Siap</t>
        </is>
      </c>
      <c r="F52" s="5" t="inlineStr"/>
    </row>
    <row r="53" ht="38" customHeight="1">
      <c r="A53" s="11" t="inlineStr">
        <is>
          <t>Fire Drill</t>
        </is>
      </c>
      <c r="B53" s="5" t="inlineStr">
        <is>
          <t>dataroom/03-tenant/simulation/02-recheck.png</t>
        </is>
      </c>
      <c r="C53" s="9" t="inlineStr">
        <is>
          <t>Data demo</t>
        </is>
      </c>
      <c r="D53" s="5" t="inlineStr">
        <is>
          <t>Banner + daftar skenario, skor, rating</t>
        </is>
      </c>
      <c r="E53" s="34" t="inlineStr">
        <is>
          <t>Perlu crop</t>
        </is>
      </c>
      <c r="F53" s="5" t="inlineStr">
        <is>
          <t>Kartu "Rata-rata skor" menampilkan angka tidak valid: buang. BLUR kolom User</t>
        </is>
      </c>
    </row>
    <row r="54" ht="38" customHeight="1">
      <c r="A54" s="11" t="inlineStr">
        <is>
          <t>Fire Drill</t>
        </is>
      </c>
      <c r="B54" s="5" t="inlineStr">
        <is>
          <t>motion/assets/app/fire-drill-header.png</t>
        </is>
      </c>
      <c r="C54" s="9" t="inlineStr">
        <is>
          <t>Kurasi</t>
        </is>
      </c>
      <c r="D54" s="5" t="inlineStr">
        <is>
          <t>Banner Fire Drill (UI terbaru)</t>
        </is>
      </c>
      <c r="E54" s="22" t="inlineStr">
        <is>
          <t>Siap</t>
        </is>
      </c>
      <c r="F54" s="5" t="inlineStr"/>
    </row>
    <row r="55" ht="38" customHeight="1">
      <c r="A55" s="11" t="inlineStr">
        <is>
          <t>Pihak ketiga</t>
        </is>
      </c>
      <c r="B55" s="5" t="inlineStr">
        <is>
          <t>dataroom/03-tenant/vendor-risk/01-overview.png</t>
        </is>
      </c>
      <c r="C55" s="9" t="inlineStr">
        <is>
          <t>Data demo</t>
        </is>
      </c>
      <c r="D55" s="5" t="inlineStr">
        <is>
          <t>15 pihak ketiga, risiko kritis, tabel</t>
        </is>
      </c>
      <c r="E55" s="34" t="inlineStr">
        <is>
          <t>Perlu blur</t>
        </is>
      </c>
      <c r="F55" s="5" t="inlineStr">
        <is>
          <t>BLUR kolom Penanggung Jawab. Blur blok user sidebar [0,470,262,140] atau crop mulai x=262</t>
        </is>
      </c>
    </row>
    <row r="56" ht="38" customHeight="1">
      <c r="A56" s="11" t="inlineStr">
        <is>
          <t>Pihak ketiga</t>
        </is>
      </c>
      <c r="B56" s="5" t="inlineStr">
        <is>
          <t>dataroom/03-tenant/vendor-risk/02-bank-pertanyaan.png</t>
        </is>
      </c>
      <c r="C56" s="9" t="inlineStr">
        <is>
          <t>Data demo</t>
        </is>
      </c>
      <c r="D56" s="5" t="inlineStr">
        <is>
          <t>Template 56 pertanyaan kepatuhan PDP</t>
        </is>
      </c>
      <c r="E56" s="34" t="inlineStr">
        <is>
          <t>Perlu blur</t>
        </is>
      </c>
      <c r="F56" s="5" t="inlineStr">
        <is>
          <t>Blur blok user sidebar [0,470,262,140] atau crop mulai x=262</t>
        </is>
      </c>
    </row>
    <row r="57" ht="38" customHeight="1">
      <c r="A57" s="11" t="inlineStr">
        <is>
          <t>Pihak ketiga</t>
        </is>
      </c>
      <c r="B57" s="5" t="inlineStr">
        <is>
          <t>dataroom/03-tenant/vendor-risk/07-detail-pihakketiga.png</t>
        </is>
      </c>
      <c r="C57" s="9" t="inlineStr">
        <is>
          <t>Data demo</t>
        </is>
      </c>
      <c r="D57" s="5" t="inlineStr">
        <is>
          <t>Detail + skor AI 49 High</t>
        </is>
      </c>
      <c r="E57" s="34" t="inlineStr">
        <is>
          <t>Perlu blur</t>
        </is>
      </c>
      <c r="F57" s="5" t="inlineStr">
        <is>
          <t>BLUR baris Website</t>
        </is>
      </c>
    </row>
    <row r="58" ht="38" customHeight="1">
      <c r="A58" s="11" t="inlineStr">
        <is>
          <t>Pihak ketiga</t>
        </is>
      </c>
      <c r="B58" s="5" t="inlineStr">
        <is>
          <t>dataroom/03-tenant/vendor-risk/08-mulai-asesmen-modal.png</t>
        </is>
      </c>
      <c r="C58" s="9" t="inlineStr">
        <is>
          <t>Data demo</t>
        </is>
      </c>
      <c r="D58" s="5" t="inlineStr">
        <is>
          <t>Kirim pra-asesmen &amp; tautan publik</t>
        </is>
      </c>
      <c r="E58" s="22" t="inlineStr">
        <is>
          <t>Siap (crop modal)</t>
        </is>
      </c>
      <c r="F58" s="5" t="inlineStr">
        <is>
          <t>Crop modal [470,40,760,520]</t>
        </is>
      </c>
    </row>
    <row r="59" ht="38" customHeight="1">
      <c r="A59" s="11" t="inlineStr">
        <is>
          <t>Data Discovery</t>
        </is>
      </c>
      <c r="B59" s="5" t="inlineStr">
        <is>
          <t>dataroom/03-tenant/data-discovery/01-overview.png</t>
        </is>
      </c>
      <c r="C59" s="9" t="inlineStr">
        <is>
          <t>Data demo</t>
        </is>
      </c>
      <c r="D59" s="5" t="inlineStr">
        <is>
          <t>6 sistem, 187 PII, status scan</t>
        </is>
      </c>
      <c r="E59" s="34" t="inlineStr">
        <is>
          <t>Perlu blur</t>
        </is>
      </c>
      <c r="F59" s="5" t="inlineStr">
        <is>
          <t>Blur blok user sidebar [0,470,262,140] atau crop mulai x=262</t>
        </is>
      </c>
    </row>
    <row r="60" ht="38" customHeight="1">
      <c r="A60" s="11" t="inlineStr">
        <is>
          <t>Data Discovery</t>
        </is>
      </c>
      <c r="B60" s="5" t="inlineStr">
        <is>
          <t>dataroom/03-tenant/data-discovery/03-system-detail.png</t>
        </is>
      </c>
      <c r="C60" s="9" t="inlineStr">
        <is>
          <t>Data demo</t>
        </is>
      </c>
      <c r="D60" s="5" t="inlineStr">
        <is>
          <t>Form kredensial database</t>
        </is>
      </c>
      <c r="E60" s="35" t="inlineStr">
        <is>
          <t>Jangan dipakai</t>
        </is>
      </c>
      <c r="F60" s="5" t="inlineStr">
        <is>
          <t>Form kredensial</t>
        </is>
      </c>
    </row>
    <row r="61" ht="38" customHeight="1">
      <c r="A61" s="11" t="inlineStr">
        <is>
          <t>Data Discovery</t>
        </is>
      </c>
      <c r="B61" s="5" t="inlineStr">
        <is>
          <t>frontend/tmp/audit4/data-discovery__scan-results.png</t>
        </is>
      </c>
      <c r="C61" s="9" t="inlineStr">
        <is>
          <t>UI terbaru</t>
        </is>
      </c>
      <c r="D61" s="5" t="inlineStr">
        <is>
          <t>Riwayat scan person (kosong)</t>
        </is>
      </c>
      <c r="E61" s="35" t="inlineStr">
        <is>
          <t>Kosong</t>
        </is>
      </c>
      <c r="F61" s="5" t="inlineStr">
        <is>
          <t>AMBIL SCREENSHOT BARU hasil scan satu orang</t>
        </is>
      </c>
    </row>
    <row r="62" ht="38" customHeight="1">
      <c r="A62" s="11" t="inlineStr">
        <is>
          <t>Telaah kebijakan</t>
        </is>
      </c>
      <c r="B62" s="5" t="inlineStr">
        <is>
          <t>motion/assets/app/policy-review.png</t>
        </is>
      </c>
      <c r="C62" s="9" t="inlineStr">
        <is>
          <t>Kurasi</t>
        </is>
      </c>
      <c r="D62" s="5" t="inlineStr">
        <is>
          <t>Ringkasan kesesuaian &amp; daftar dokumen</t>
        </is>
      </c>
      <c r="E62" s="22" t="inlineStr">
        <is>
          <t>Siap</t>
        </is>
      </c>
      <c r="F62" s="5" t="inlineStr"/>
    </row>
    <row r="63" ht="38" customHeight="1">
      <c r="A63" s="11" t="inlineStr">
        <is>
          <t>Telaah kebijakan</t>
        </is>
      </c>
      <c r="B63" s="5" t="inlineStr">
        <is>
          <t>frontend/tmp/audit4/policy-review__60c9fc83-b09e-4399-ab4f-dbe083655bd7.png</t>
        </is>
      </c>
      <c r="C63" s="9" t="inlineStr">
        <is>
          <t>UI terbaru</t>
        </is>
      </c>
      <c r="D63" s="5" t="inlineStr">
        <is>
          <t>Hasil telaah "SOP Respons Insiden Data" 38%</t>
        </is>
      </c>
      <c r="E63" s="34" t="inlineStr">
        <is>
          <t>Perlu blur</t>
        </is>
      </c>
      <c r="F63" s="5" t="inlineStr">
        <is>
          <t>Blur nama org [300,22,200,26]; buang sidebar (x&lt;200)</t>
        </is>
      </c>
    </row>
    <row r="64" ht="38" customHeight="1">
      <c r="A64" s="11" t="inlineStr">
        <is>
          <t>Telaah kebijakan</t>
        </is>
      </c>
      <c r="B64" s="5" t="inlineStr">
        <is>
          <t>dataroom/03-tenant/policy-review/01-overview.png</t>
        </is>
      </c>
      <c r="C64" s="9" t="inlineStr">
        <is>
          <t>Data demo</t>
        </is>
      </c>
      <c r="D64" s="5" t="inlineStr">
        <is>
          <t>Daftar telaah</t>
        </is>
      </c>
      <c r="E64" s="35" t="inlineStr">
        <is>
          <t>Jangan dipakai</t>
        </is>
      </c>
      <c r="F64" s="5" t="inlineStr">
        <is>
          <t>Kartu skor tidak wajar &amp; judul dokumen bisa nama perusahaan nyata</t>
        </is>
      </c>
    </row>
    <row r="65" ht="38" customHeight="1">
      <c r="A65" s="11" t="inlineStr">
        <is>
          <t>Policy Generator</t>
        </is>
      </c>
      <c r="B65" s="5" t="inlineStr">
        <is>
          <t>frontend/tmp/audit4/policy-generator__new.png</t>
        </is>
      </c>
      <c r="C65" s="9" t="inlineStr">
        <is>
          <t>UI terbaru</t>
        </is>
      </c>
      <c r="D65" s="5" t="inlineStr">
        <is>
          <t>Wizard: audiens &amp; bahasa</t>
        </is>
      </c>
      <c r="E65" s="34" t="inlineStr">
        <is>
          <t>Perlu blur</t>
        </is>
      </c>
      <c r="F65" s="5" t="inlineStr">
        <is>
          <t>Blur nama org [300,22,200,26]; buang sidebar (x&lt;200)</t>
        </is>
      </c>
    </row>
    <row r="66" ht="38" customHeight="1">
      <c r="A66" s="11" t="inlineStr">
        <is>
          <t>Telaah kontrak</t>
        </is>
      </c>
      <c r="B66" s="5" t="inlineStr">
        <is>
          <t>frontend/tmp/audit4/contract-review.png</t>
        </is>
      </c>
      <c r="C66" s="9" t="inlineStr">
        <is>
          <t>UI terbaru</t>
        </is>
      </c>
      <c r="D66" s="5" t="inlineStr">
        <is>
          <t>Portofolio 38%, pasal sering belum dipenuhi, DPA "PT Awan"</t>
        </is>
      </c>
      <c r="E66" s="34" t="inlineStr">
        <is>
          <t>Perlu blur</t>
        </is>
      </c>
      <c r="F66" s="5" t="inlineStr">
        <is>
          <t>Blur nama org [300,22,200,26]; buang sidebar (x&lt;200)</t>
        </is>
      </c>
    </row>
    <row r="67" ht="38" customHeight="1">
      <c r="A67" s="11" t="inlineStr">
        <is>
          <t>Telaah kontrak</t>
        </is>
      </c>
      <c r="B67" s="5" t="inlineStr">
        <is>
          <t>frontend/tmp/audit4/contract-review__kerangka.png</t>
        </is>
      </c>
      <c r="C67" s="9" t="inlineStr">
        <is>
          <t>UI terbaru</t>
        </is>
      </c>
      <c r="D67" s="5" t="inlineStr">
        <is>
          <t>Kerangka pembanding: UU PDP 76 pasal, PP 33 225 pasal</t>
        </is>
      </c>
      <c r="E67" s="34" t="inlineStr">
        <is>
          <t>Perlu blur</t>
        </is>
      </c>
      <c r="F67" s="5" t="inlineStr">
        <is>
          <t>Blur nama org [300,22,200,26]; buang sidebar (x&lt;200)</t>
        </is>
      </c>
    </row>
    <row r="68" ht="38" customHeight="1">
      <c r="A68" s="11" t="inlineStr">
        <is>
          <t>Telaah kontrak</t>
        </is>
      </c>
      <c r="B68" s="5" t="inlineStr">
        <is>
          <t>frontend/tmp/audit4/contract-review__fca95cc6-55c3-45b6-a3b8-c39d89683396.png</t>
        </is>
      </c>
      <c r="C68" s="9" t="inlineStr">
        <is>
          <t>UI terbaru</t>
        </is>
      </c>
      <c r="D68" s="5" t="inlineStr">
        <is>
          <t>Hasil telaah DPA + rekomendasi</t>
        </is>
      </c>
      <c r="E68" s="34" t="inlineStr">
        <is>
          <t>Perlu blur</t>
        </is>
      </c>
      <c r="F68" s="5" t="inlineStr">
        <is>
          <t>Blur nama org [300,22,200,26]; buang sidebar (x&lt;200)</t>
        </is>
      </c>
    </row>
    <row r="69" ht="38" customHeight="1">
      <c r="A69" s="11" t="inlineStr">
        <is>
          <t>Telaah kontrak</t>
        </is>
      </c>
      <c r="B69" s="5" t="inlineStr">
        <is>
          <t>dataroom/03-tenant/contract-review/01-overview.png</t>
        </is>
      </c>
      <c r="C69" s="9" t="inlineStr">
        <is>
          <t>Data demo</t>
        </is>
      </c>
      <c r="D69" s="5" t="inlineStr">
        <is>
          <t>Daftar kontrak</t>
        </is>
      </c>
      <c r="E69" s="35" t="inlineStr">
        <is>
          <t>Jangan dipakai</t>
        </is>
      </c>
      <c r="F69" s="5" t="inlineStr">
        <is>
          <t>Kartu skor tidak wajar &amp; nama file dokumen nyata</t>
        </is>
      </c>
    </row>
    <row r="70" ht="38" customHeight="1">
      <c r="A70" s="11" t="inlineStr">
        <is>
          <t>Document Maker</t>
        </is>
      </c>
      <c r="B70" s="5" t="inlineStr">
        <is>
          <t>frontend/tmp/audit4/document-maker__9340d5be-074b-428a-bb7a-9bc61a2dce2e.png</t>
        </is>
      </c>
      <c r="C70" s="9" t="inlineStr">
        <is>
          <t>UI terbaru</t>
        </is>
      </c>
      <c r="D70" s="5" t="inlineStr">
        <is>
          <t>Dokumen "Kebijakan Respons Insiden"</t>
        </is>
      </c>
      <c r="E70" s="34" t="inlineStr">
        <is>
          <t>Perlu blur</t>
        </is>
      </c>
      <c r="F70" s="5" t="inlineStr">
        <is>
          <t>Blur nama org [300,22,200,26]; buang sidebar (x&lt;200) + nama org di kop dokumen</t>
        </is>
      </c>
    </row>
    <row r="71" ht="38" customHeight="1">
      <c r="A71" s="11" t="inlineStr">
        <is>
          <t>Document Import</t>
        </is>
      </c>
      <c r="B71" s="5" t="inlineStr">
        <is>
          <t>dataroom/03-tenant/document-import/01-overview.png</t>
        </is>
      </c>
      <c r="C71" s="9" t="inlineStr">
        <is>
          <t>Data demo</t>
        </is>
      </c>
      <c r="D71" s="5" t="inlineStr">
        <is>
          <t>Document Intelligence: unggah &amp; format</t>
        </is>
      </c>
      <c r="E71" s="34" t="inlineStr">
        <is>
          <t>Perlu blur</t>
        </is>
      </c>
      <c r="F71" s="5" t="inlineStr">
        <is>
          <t>Blur blok user sidebar [0,470,262,140] atau crop mulai x=262</t>
        </is>
      </c>
    </row>
    <row r="72" ht="38" customHeight="1">
      <c r="A72" s="11" t="inlineStr">
        <is>
          <t>Priva AI</t>
        </is>
      </c>
      <c r="B72" s="5" t="inlineStr">
        <is>
          <t>motion/assets/app/ai-agent-home.png</t>
        </is>
      </c>
      <c r="C72" s="9" t="inlineStr">
        <is>
          <t>Kurasi</t>
        </is>
      </c>
      <c r="D72" s="5" t="inlineStr">
        <is>
          <t>Sapaan, chip modul, saran pertanyaan</t>
        </is>
      </c>
      <c r="E72" s="22" t="inlineStr">
        <is>
          <t>Siap</t>
        </is>
      </c>
      <c r="F72" s="5" t="inlineStr"/>
    </row>
    <row r="73" ht="38" customHeight="1">
      <c r="A73" s="11" t="inlineStr">
        <is>
          <t>Priva AI</t>
        </is>
      </c>
      <c r="B73" s="5" t="inlineStr">
        <is>
          <t>motion/assets/app/ai-agent-chat.png</t>
        </is>
      </c>
      <c r="C73" s="9" t="inlineStr">
        <is>
          <t>Kurasi</t>
        </is>
      </c>
      <c r="D73" s="5" t="inlineStr">
        <is>
          <t>Jawaban Priva</t>
        </is>
      </c>
      <c r="E73" s="22" t="inlineStr">
        <is>
          <t>Siap</t>
        </is>
      </c>
      <c r="F73" s="5" t="inlineStr"/>
    </row>
    <row r="74" ht="38" customHeight="1">
      <c r="A74" s="11" t="inlineStr">
        <is>
          <t>Knowledge Base</t>
        </is>
      </c>
      <c r="B74" s="5" t="inlineStr">
        <is>
          <t>frontend/tmp/audit4/knowledge-base.png</t>
        </is>
      </c>
      <c r="C74" s="9" t="inlineStr">
        <is>
          <t>UI terbaru</t>
        </is>
      </c>
      <c r="D74" s="5" t="inlineStr">
        <is>
          <t>Daftar entri KB + Tambah KB Tenant</t>
        </is>
      </c>
      <c r="E74" s="34" t="inlineStr">
        <is>
          <t>Perlu blur</t>
        </is>
      </c>
      <c r="F74" s="5" t="inlineStr">
        <is>
          <t>Blur nama org [300,22,200,26]; buang sidebar (x&lt;200)</t>
        </is>
      </c>
    </row>
    <row r="75" ht="38" customHeight="1">
      <c r="A75" s="11" t="inlineStr">
        <is>
          <t>Holding</t>
        </is>
      </c>
      <c r="B75" s="5" t="inlineStr">
        <is>
          <t>motion/assets/app/holding-header.png</t>
        </is>
      </c>
      <c r="C75" s="9" t="inlineStr">
        <is>
          <t>Kurasi</t>
        </is>
      </c>
      <c r="D75" s="5" t="inlineStr">
        <is>
          <t>Judul &amp; tab (tanpa data grup)</t>
        </is>
      </c>
      <c r="E75" s="22" t="inlineStr">
        <is>
          <t>Siap</t>
        </is>
      </c>
      <c r="F75" s="5" t="inlineStr"/>
    </row>
    <row r="76" ht="38" customHeight="1">
      <c r="A76" s="11" t="inlineStr">
        <is>
          <t>Holding</t>
        </is>
      </c>
      <c r="B76" s="5" t="inlineStr">
        <is>
          <t>dataroom/03-tenant/holding-dashboard/01-overview.png</t>
        </is>
      </c>
      <c r="C76" s="9" t="inlineStr">
        <is>
          <t>Data demo</t>
        </is>
      </c>
      <c r="D76" s="5" t="inlineStr">
        <is>
          <t>KPI grup + daftar entitas</t>
        </is>
      </c>
      <c r="E76" s="34" t="inlineStr">
        <is>
          <t>Hanya KPI</t>
        </is>
      </c>
      <c r="F76" s="5" t="inlineStr">
        <is>
          <t>Jangan tampilkan daftar entitas</t>
        </is>
      </c>
    </row>
    <row r="77" ht="38" customHeight="1">
      <c r="A77" s="11" t="inlineStr">
        <is>
          <t>Holding</t>
        </is>
      </c>
      <c r="B77" s="5" t="inlineStr">
        <is>
          <t>dataroom/02-superadmin/holding-dashboard/*</t>
        </is>
      </c>
      <c r="C77" s="9" t="inlineStr">
        <is>
          <t>Superadmin</t>
        </is>
      </c>
      <c r="D77" s="5" t="inlineStr">
        <is>
          <t>Matriks &amp; pohon grup</t>
        </is>
      </c>
      <c r="E77" s="35" t="inlineStr">
        <is>
          <t>JANGAN DIPAKAI</t>
        </is>
      </c>
      <c r="F77" s="5" t="inlineStr">
        <is>
          <t>Berisi nama perusahaan nyata</t>
        </is>
      </c>
    </row>
    <row r="78" ht="38" customHeight="1">
      <c r="A78" s="11" t="inlineStr">
        <is>
          <t>PPDP</t>
        </is>
      </c>
      <c r="B78" s="5" t="inlineStr">
        <is>
          <t>frontend/tmp/audit4/ppdp.png</t>
        </is>
      </c>
      <c r="C78" s="9" t="inlineStr">
        <is>
          <t>UI terbaru</t>
        </is>
      </c>
      <c r="D78" s="5" t="inlineStr">
        <is>
          <t>Teralih ke dasbor</t>
        </is>
      </c>
      <c r="E78" s="35" t="inlineStr">
        <is>
          <t>Tidak ada</t>
        </is>
      </c>
      <c r="F78" s="5" t="inlineStr">
        <is>
          <t>AMBIL SCREENSHOT BARU halaman /ppdp</t>
        </is>
      </c>
    </row>
    <row r="79" ht="38" customHeight="1">
      <c r="A79" s="11" t="inlineStr">
        <is>
          <t>Paparan sanksi</t>
        </is>
      </c>
      <c r="B79" s="5" t="inlineStr">
        <is>
          <t>frontend/tmp/audit4/sanctions.png</t>
        </is>
      </c>
      <c r="C79" s="9" t="inlineStr">
        <is>
          <t>UI terbaru</t>
        </is>
      </c>
      <c r="D79" s="5" t="inlineStr">
        <is>
          <t>Teralih ke dasbor</t>
        </is>
      </c>
      <c r="E79" s="35" t="inlineStr">
        <is>
          <t>Tidak ada</t>
        </is>
      </c>
      <c r="F79" s="5" t="inlineStr">
        <is>
          <t>AMBIL SCREENSHOT BARU (cek rute)</t>
        </is>
      </c>
    </row>
    <row r="80" ht="38" customHeight="1">
      <c r="A80" s="11" t="inlineStr">
        <is>
          <t>DPO Academy</t>
        </is>
      </c>
      <c r="B80" s="5" t="inlineStr">
        <is>
          <t>motion/assets/app/dpo-academy.png</t>
        </is>
      </c>
      <c r="C80" s="9" t="inlineStr">
        <is>
          <t>Kurasi</t>
        </is>
      </c>
      <c r="D80" s="5" t="inlineStr">
        <is>
          <t>4 kartu kursus</t>
        </is>
      </c>
      <c r="E80" s="22" t="inlineStr">
        <is>
          <t>Siap</t>
        </is>
      </c>
      <c r="F80" s="5" t="inlineStr"/>
    </row>
    <row r="81" ht="38" customHeight="1">
      <c r="A81" s="11" t="inlineStr">
        <is>
          <t>DPO Academy</t>
        </is>
      </c>
      <c r="B81" s="5" t="inlineStr">
        <is>
          <t>dataroom/03-tenant/learn/01-overview.png</t>
        </is>
      </c>
      <c r="C81" s="9" t="inlineStr">
        <is>
          <t>Data demo</t>
        </is>
      </c>
      <c r="D81" s="5" t="inlineStr">
        <is>
          <t>Beranda Academy + sertifikat</t>
        </is>
      </c>
      <c r="E81" s="34" t="inlineStr">
        <is>
          <t>Perlu blur</t>
        </is>
      </c>
      <c r="F81" s="5" t="inlineStr">
        <is>
          <t>BLUR "Selamat datang, &lt;nama&gt;"</t>
        </is>
      </c>
    </row>
    <row r="82" ht="38" customHeight="1">
      <c r="A82" s="11" t="inlineStr">
        <is>
          <t>DPO Academy</t>
        </is>
      </c>
      <c r="B82" s="5" t="inlineStr">
        <is>
          <t>frontend/tmp/audit4/learn__badges.png</t>
        </is>
      </c>
      <c r="C82" s="9" t="inlineStr">
        <is>
          <t>UI terbaru</t>
        </is>
      </c>
      <c r="D82" s="5" t="inlineStr">
        <is>
          <t>Lencana &amp; XP</t>
        </is>
      </c>
      <c r="E82" s="34" t="inlineStr">
        <is>
          <t>Perlu blur</t>
        </is>
      </c>
      <c r="F82" s="5" t="inlineStr">
        <is>
          <t>Blur nama org [300,22,200,26]; buang sidebar (x&lt;200)</t>
        </is>
      </c>
    </row>
    <row r="84">
      <c r="A84" s="8" t="inlineStr">
        <is>
          <t>Screenshot yang perlu diambil baru (data dummy, tanpa nama/merek nyata)</t>
        </is>
      </c>
    </row>
    <row r="85" ht="34" customHeight="1">
      <c r="A85" s="3" t="inlineStr">
        <is>
          <t>Modul</t>
        </is>
      </c>
      <c r="B85" s="3" t="inlineStr">
        <is>
          <t>Halaman / rute</t>
        </is>
      </c>
      <c r="C85" s="3" t="inlineStr">
        <is>
          <t>Yang perlu tampil</t>
        </is>
      </c>
      <c r="D85" s="3" t="inlineStr">
        <is>
          <t>Dipakai di</t>
        </is>
      </c>
      <c r="E85" s="3" t="inlineStr"/>
      <c r="F85" s="3" t="inlineStr"/>
    </row>
    <row r="86" ht="40" customHeight="1">
      <c r="A86" s="44" t="inlineStr">
        <is>
          <t>LIA</t>
        </is>
      </c>
      <c r="B86" s="42" t="inlineStr">
        <is>
          <t>/lia</t>
        </is>
      </c>
      <c r="C86" s="42" t="inlineStr">
        <is>
          <t>2–3 LIA contoh (Draft, Submitted, Approved) + halaman detail penilaian (tujuan, kebutuhan, keseimbangan)</t>
        </is>
      </c>
      <c r="D86" s="42" t="inlineStr">
        <is>
          <t>M06, P24</t>
        </is>
      </c>
      <c r="E86" s="42" t="inlineStr"/>
      <c r="F86" s="42" t="inlineStr"/>
    </row>
    <row r="87" ht="40" customHeight="1">
      <c r="A87" s="44" t="inlineStr">
        <is>
          <t>PPDP</t>
        </is>
      </c>
      <c r="B87" s="42" t="inlineStr">
        <is>
          <t>/ppdp</t>
        </is>
      </c>
      <c r="C87" s="42" t="inlineStr">
        <is>
          <t>Penunjukan PPDP dengan data fiktif (nama, SK, cakupan)</t>
        </is>
      </c>
      <c r="D87" s="42" t="inlineStr">
        <is>
          <t>M20</t>
        </is>
      </c>
      <c r="E87" s="42" t="inlineStr"/>
      <c r="F87" s="42" t="inlineStr"/>
    </row>
    <row r="88" ht="40" customHeight="1">
      <c r="A88" s="44" t="inlineStr">
        <is>
          <t>Paparan sanksi</t>
        </is>
      </c>
      <c r="B88" s="42" t="inlineStr">
        <is>
          <t>cek rute modul paparan sanksi</t>
        </is>
      </c>
      <c r="C88" s="42" t="inlineStr">
        <is>
          <t>Pemetaan pasal bersanksi → modul, dengan status</t>
        </is>
      </c>
      <c r="D88" s="42" t="inlineStr">
        <is>
          <t>M20, P29</t>
        </is>
      </c>
      <c r="E88" s="42" t="inlineStr"/>
      <c r="F88" s="42" t="inlineStr"/>
    </row>
    <row r="89" ht="40" customHeight="1">
      <c r="A89" s="44" t="inlineStr">
        <is>
          <t>Holding</t>
        </is>
      </c>
      <c r="B89" s="42" t="inlineStr">
        <is>
          <t>/holding-dashboard (tenant demo)</t>
        </is>
      </c>
      <c r="C89" s="42" t="inlineStr">
        <is>
          <t>Compliance score per entitas, matriks, pohon: SEMUA nama entitas fiktif</t>
        </is>
      </c>
      <c r="D89" s="42" t="inlineStr">
        <is>
          <t>M21, P25</t>
        </is>
      </c>
      <c r="E89" s="42" t="inlineStr"/>
      <c r="F89" s="42" t="inlineStr"/>
    </row>
    <row r="90" ht="40" customHeight="1">
      <c r="A90" s="44" t="inlineStr">
        <is>
          <t>Children Pro</t>
        </is>
      </c>
      <c r="B90" s="42" t="inlineStr">
        <is>
          <t>/consent-guardian</t>
        </is>
      </c>
      <c r="C90" s="42" t="inlineStr">
        <is>
          <t>Data wali &amp; anak fiktif, contoh verifikasi &amp; peralihan</t>
        </is>
      </c>
      <c r="D90" s="42" t="inlineStr">
        <is>
          <t>M09</t>
        </is>
      </c>
      <c r="E90" s="42" t="inlineStr"/>
      <c r="F90" s="42" t="inlineStr"/>
    </row>
    <row r="91" ht="40" customHeight="1">
      <c r="A91" s="44" t="inlineStr">
        <is>
          <t>Inclusive Privacy</t>
        </is>
      </c>
      <c r="B91" s="42" t="inlineStr">
        <is>
          <t>/consent-accessibility</t>
        </is>
      </c>
      <c r="C91" s="42" t="inlineStr">
        <is>
          <t>Contoh pengaturan aksesibilitas &amp; DSR disabilitas</t>
        </is>
      </c>
      <c r="D91" s="42" t="inlineStr">
        <is>
          <t>M10</t>
        </is>
      </c>
      <c r="E91" s="42" t="inlineStr"/>
      <c r="F91" s="42" t="inlineStr"/>
    </row>
    <row r="92" ht="40" customHeight="1">
      <c r="A92" s="44" t="inlineStr">
        <is>
          <t>Data Discovery</t>
        </is>
      </c>
      <c r="B92" s="42" t="inlineStr">
        <is>
          <t>/data-discovery → Scan Pencarian Person</t>
        </is>
      </c>
      <c r="C92" s="42" t="inlineStr">
        <is>
          <t>Hasil pencarian satu orang fiktif di beberapa sistem</t>
        </is>
      </c>
      <c r="D92" s="42" t="inlineStr">
        <is>
          <t>M15</t>
        </is>
      </c>
      <c r="E92" s="42" t="inlineStr"/>
      <c r="F92" s="42" t="inlineStr"/>
    </row>
    <row r="93" ht="40" customHeight="1">
      <c r="A93" s="44" t="inlineStr">
        <is>
          <t>Umum</t>
        </is>
      </c>
      <c r="B93" s="42" t="inlineStr">
        <is>
          <t>semua modul (UI terbaru)</t>
        </is>
      </c>
      <c r="C93" s="42" t="inlineStr">
        <is>
          <t>Idealnya ambil ulang semua modul di tenant demo berdata dummy (UI terbaru), resolusi 1440×900 &amp; 1920×1080, tanpa nama/merek nyata</t>
        </is>
      </c>
      <c r="D93" s="42" t="inlineStr">
        <is>
          <t>Semua</t>
        </is>
      </c>
      <c r="E93" s="42" t="inlineStr"/>
      <c r="F93" s="42" t="inlineStr"/>
    </row>
  </sheetData>
  <autoFilter ref="A4:F82"/>
  <mergeCells count="1">
    <mergeCell ref="A2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34" customWidth="1" min="3" max="3"/>
    <col width="26" customWidth="1" min="4" max="4"/>
    <col width="30" customWidth="1" min="5" max="5"/>
    <col width="30" customWidth="1" min="6" max="6"/>
    <col width="40" customWidth="1" min="7" max="7"/>
    <col width="26" customWidth="1" min="8" max="8"/>
    <col width="30" customWidth="1" min="9" max="9"/>
    <col width="30" customWidth="1" min="10" max="10"/>
  </cols>
  <sheetData>
    <row r="1">
      <c r="A1" s="10" t="inlineStr">
        <is>
          <t>Bank sound meme: hasil cek myinstants.com/en/search/?name=meme (36 tombol, halaman 1)</t>
        </is>
      </c>
    </row>
    <row r="2" ht="46" customHeight="1">
      <c r="A2" s="36" t="inlineStr">
        <is>
          <t>PENTING: Ketentuan Penggunaan myinstants hanya memberi izin akses untuk penggunaan PRIBADI &amp; NONKOMERSIAL, dan suaranya unggahan pengguna tanpa lisensi dari pemilik asli (mis. "Faaaah by Taileons"). Jadi file aslinya TIDAK dipakai untuk iklan. Pakai kolom "Versi aman": synth orisinal di motion/lib/audio.js atau rekaman ulang tim di motion/sfx-kustom/.</t>
        </is>
      </c>
    </row>
    <row r="4" ht="34" customHeight="1">
      <c r="A4" s="3" t="inlineStr">
        <is>
          <t>No</t>
        </is>
      </c>
      <c r="B4" s="3" t="inlineStr">
        <is>
          <t>Nama di myinstants</t>
        </is>
      </c>
      <c r="C4" s="3" t="inlineStr">
        <is>
          <t>Tautan</t>
        </is>
      </c>
      <c r="D4" s="3" t="inlineStr">
        <is>
          <t>Jenis</t>
        </is>
      </c>
      <c r="E4" s="3" t="inlineStr">
        <is>
          <t>Momen di alur iklan</t>
        </is>
      </c>
      <c r="F4" s="3" t="inlineStr">
        <is>
          <t>Risiko hak / merek</t>
        </is>
      </c>
      <c r="G4" s="3" t="inlineStr">
        <is>
          <t>Versi aman</t>
        </is>
      </c>
      <c r="H4" s="3" t="inlineStr">
        <is>
          <t>Nama di scenes.js ('sfx')</t>
        </is>
      </c>
      <c r="I4" s="3" t="inlineStr">
        <is>
          <t>Status versi aman</t>
        </is>
      </c>
      <c r="J4" s="3" t="inlineStr">
        <is>
          <t>Dipakai di konsep</t>
        </is>
      </c>
    </row>
    <row r="5" ht="46" customHeight="1">
      <c r="A5" s="9" t="n">
        <v>1</v>
      </c>
      <c r="B5" s="5" t="inlineStr">
        <is>
          <t>Meme</t>
        </is>
      </c>
      <c r="C5" s="45" t="inlineStr">
        <is>
          <t>https://www.myinstants.com/en/instant/meme/</t>
        </is>
      </c>
      <c r="D5" s="5" t="inlineStr">
        <is>
          <t>Vokal ("are you out of your mind?")</t>
        </is>
      </c>
      <c r="E5" s="5" t="inlineStr">
        <is>
          <t>Saat ada usul praktik data yang ngawur</t>
        </is>
      </c>
      <c r="F5" s="42" t="inlineStr">
        <is>
          <t>Tinggi: rekaman orang lain</t>
        </is>
      </c>
      <c r="G5" s="5" t="inlineStr">
        <is>
          <t>Rekam ulang tim: "Kamu gila, ya?"</t>
        </is>
      </c>
      <c r="H5" s="5" t="inlineStr">
        <is>
          <t>sfx-kustom/gila.wav → 'file:gila'</t>
        </is>
      </c>
      <c r="I5" s="41" t="inlineStr">
        <is>
          <t>Perlu rekaman tim → motion/sfx-kustom/</t>
        </is>
      </c>
      <c r="J5" s="5" t="inlineStr">
        <is>
          <t>A09, A29</t>
        </is>
      </c>
    </row>
    <row r="6" ht="46" customHeight="1">
      <c r="A6" s="9" t="n">
        <v>2</v>
      </c>
      <c r="B6" s="5" t="inlineStr">
        <is>
          <t>FAAAH</t>
        </is>
      </c>
      <c r="C6" s="45" t="inlineStr">
        <is>
          <t>https://www.myinstants.com/en/instant/faaah-63455/</t>
        </is>
      </c>
      <c r="D6" s="5" t="inlineStr">
        <is>
          <t>Vokal teriakan frustrasi ("Faaaah by Taileons")</t>
        </is>
      </c>
      <c r="E6" s="5" t="inlineStr">
        <is>
          <t>Momen gagal total / ketahuan belum patuh</t>
        </is>
      </c>
      <c r="F6" s="42" t="inlineStr">
        <is>
          <t>Tinggi: rekaman kreator (Taileons), tanpa lisensi komersial</t>
        </is>
      </c>
      <c r="G6" s="5" t="inlineStr">
        <is>
          <t>Rekam ulang tim (teriak panjang "FAAAH") atau ElevenLabs v3 dengan tag [shouts]</t>
        </is>
      </c>
      <c r="H6" s="5" t="inlineStr">
        <is>
          <t>sfx-kustom/faah.wav → 'file:faah'</t>
        </is>
      </c>
      <c r="I6" s="41" t="inlineStr">
        <is>
          <t>Perlu rekaman tim → motion/sfx-kustom/</t>
        </is>
      </c>
      <c r="J6" s="5" t="inlineStr">
        <is>
          <t>A01, A05, A14, A19, A21, A24, A27, A29, A44, A45</t>
        </is>
      </c>
    </row>
    <row r="7" ht="46" customHeight="1">
      <c r="A7" s="9" t="n">
        <v>3</v>
      </c>
      <c r="B7" s="5" t="inlineStr">
        <is>
          <t>Sad Violin (the meme one)</t>
        </is>
      </c>
      <c r="C7" s="45" t="inlineStr">
        <is>
          <t>https://www.myinstants.com/en/instant/sad-violin-the-meme-one/</t>
        </is>
      </c>
      <c r="D7" s="5" t="inlineStr">
        <is>
          <t>Musik (cuplikan game/rekaman)</t>
        </is>
      </c>
      <c r="E7" s="5" t="inlineStr">
        <is>
          <t>Momen sedih-lebay</t>
        </is>
      </c>
      <c r="F7" s="42" t="inlineStr">
        <is>
          <t>Tinggi: rekaman berhak cipta</t>
        </is>
      </c>
      <c r="G7" s="5" t="inlineStr">
        <is>
          <t>Synth orisinal "sadviolin" (melodi sendiri)</t>
        </is>
      </c>
      <c r="H7" s="5" t="inlineStr">
        <is>
          <t>'sadviolin'</t>
        </is>
      </c>
      <c r="I7" s="40" t="inlineStr">
        <is>
          <t>Siap di pipeline</t>
        </is>
      </c>
      <c r="J7" s="5" t="inlineStr">
        <is>
          <t>A14, A36, A41</t>
        </is>
      </c>
    </row>
    <row r="8" ht="46" customHeight="1">
      <c r="A8" s="9" t="n">
        <v>4</v>
      </c>
      <c r="B8" s="5" t="inlineStr">
        <is>
          <t>Among Us role reveal sound</t>
        </is>
      </c>
      <c r="C8" s="45" t="inlineStr">
        <is>
          <t>https://www.myinstants.com/en/instant/among-us-role-reveal-sound-34956/</t>
        </is>
      </c>
      <c r="D8" s="5" t="inlineStr">
        <is>
          <t>SFX game</t>
        </is>
      </c>
      <c r="E8" s="5" t="inlineStr">
        <is>
          <t>Pengungkapan "pelaku"</t>
        </is>
      </c>
      <c r="F8" s="42" t="inlineStr">
        <is>
          <t>Tinggi: aset game (IP)</t>
        </is>
      </c>
      <c r="G8" s="5" t="inlineStr">
        <is>
          <t>Synth orisinal "reveal"</t>
        </is>
      </c>
      <c r="H8" s="5" t="inlineStr">
        <is>
          <t>'reveal'</t>
        </is>
      </c>
      <c r="I8" s="40" t="inlineStr">
        <is>
          <t>Siap di pipeline</t>
        </is>
      </c>
      <c r="J8" s="5" t="inlineStr">
        <is>
          <t>A39</t>
        </is>
      </c>
    </row>
    <row r="9" ht="46" customHeight="1">
      <c r="A9" s="9" t="n">
        <v>5</v>
      </c>
      <c r="B9" s="5" t="inlineStr">
        <is>
          <t>Error SOUNDSS</t>
        </is>
      </c>
      <c r="C9" s="45" t="inlineStr">
        <is>
          <t>https://www.myinstants.com/en/instant/error-soundss-25534/</t>
        </is>
      </c>
      <c r="D9" s="5" t="inlineStr">
        <is>
          <t>SFX error sistem</t>
        </is>
      </c>
      <c r="E9" s="5" t="inlineStr">
        <is>
          <t>Salah input / password lemah</t>
        </is>
      </c>
      <c r="F9" s="41" t="inlineStr">
        <is>
          <t>Sedang: suara sistem operasi bermerek</t>
        </is>
      </c>
      <c r="G9" s="5" t="inlineStr">
        <is>
          <t>Synth orisinal "error"</t>
        </is>
      </c>
      <c r="H9" s="5" t="inlineStr">
        <is>
          <t>'error'</t>
        </is>
      </c>
      <c r="I9" s="40" t="inlineStr">
        <is>
          <t>Siap di pipeline</t>
        </is>
      </c>
      <c r="J9" s="5" t="inlineStr">
        <is>
          <t>A29</t>
        </is>
      </c>
    </row>
    <row r="10" ht="46" customHeight="1">
      <c r="A10" s="9" t="n">
        <v>6</v>
      </c>
      <c r="B10" s="5" t="inlineStr">
        <is>
          <t>baby laughing meme</t>
        </is>
      </c>
      <c r="C10" s="45" t="inlineStr">
        <is>
          <t>https://www.myinstants.com/en/instant/baby-laughing-meme-56428/</t>
        </is>
      </c>
      <c r="D10" s="5" t="inlineStr">
        <is>
          <t>Vokal bayi (orang nyata)</t>
        </is>
      </c>
      <c r="E10" s="5" t="inlineStr">
        <is>
          <t>Tertawa</t>
        </is>
      </c>
      <c r="F10" s="42" t="inlineStr">
        <is>
          <t>Tinggi: suara anak nyata (data pribadi + hak)</t>
        </is>
      </c>
      <c r="G10" s="5" t="inlineStr">
        <is>
          <t>Hindari; pakai tawa tim dewasa bila perlu</t>
        </is>
      </c>
      <c r="H10" s="5" t="inlineStr">
        <is>
          <t>—</t>
        </is>
      </c>
      <c r="I10" s="5" t="inlineStr">
        <is>
          <t>Hindari</t>
        </is>
      </c>
      <c r="J10" s="5" t="inlineStr">
        <is>
          <t>—</t>
        </is>
      </c>
    </row>
    <row r="11" ht="46" customHeight="1">
      <c r="A11" s="9" t="n">
        <v>7</v>
      </c>
      <c r="B11" s="5" t="inlineStr">
        <is>
          <t>Punch Sound</t>
        </is>
      </c>
      <c r="C11" s="45" t="inlineStr">
        <is>
          <t>https://www.myinstants.com/en/instant/punch-sound-86161/</t>
        </is>
      </c>
      <c r="D11" s="5" t="inlineStr">
        <is>
          <t>SFX pukulan</t>
        </is>
      </c>
      <c r="E11" s="5" t="inlineStr">
        <is>
          <t>Pukulan telak (fakta keras)</t>
        </is>
      </c>
      <c r="F11" s="41" t="inlineStr">
        <is>
          <t>Sedang: sumber tidak jelas</t>
        </is>
      </c>
      <c r="G11" s="5" t="inlineStr">
        <is>
          <t>Synth "hit" / "impact" (sudah ada)</t>
        </is>
      </c>
      <c r="H11" s="5" t="inlineStr">
        <is>
          <t>'hit' · 'impact'</t>
        </is>
      </c>
      <c r="I11" s="40" t="inlineStr">
        <is>
          <t>Siap di pipeline</t>
        </is>
      </c>
      <c r="J11" s="5" t="inlineStr">
        <is>
          <t>A08</t>
        </is>
      </c>
    </row>
    <row r="12" ht="46" customHeight="1">
      <c r="A12" s="9" t="n">
        <v>8</v>
      </c>
      <c r="B12" s="5" t="inlineStr">
        <is>
          <t>spiderman meme song</t>
        </is>
      </c>
      <c r="C12" s="45" t="inlineStr">
        <is>
          <t>https://www.myinstants.com/en/instant/spiderman-meme-song-37638/</t>
        </is>
      </c>
      <c r="D12" s="5" t="inlineStr">
        <is>
          <t>Lagu</t>
        </is>
      </c>
      <c r="E12" s="5" t="inlineStr">
        <is>
          <t>—</t>
        </is>
      </c>
      <c r="F12" s="42" t="inlineStr">
        <is>
          <t>Tinggi: lagu berhak cipta</t>
        </is>
      </c>
      <c r="G12" s="5" t="inlineStr">
        <is>
          <t>Hindari</t>
        </is>
      </c>
      <c r="H12" s="5" t="inlineStr">
        <is>
          <t>—</t>
        </is>
      </c>
      <c r="I12" s="5" t="inlineStr">
        <is>
          <t>Hindari</t>
        </is>
      </c>
      <c r="J12" s="5" t="inlineStr">
        <is>
          <t>—</t>
        </is>
      </c>
    </row>
    <row r="13" ht="46" customHeight="1">
      <c r="A13" s="9" t="n">
        <v>9</v>
      </c>
      <c r="B13" s="5" t="inlineStr">
        <is>
          <t>instagram thud (vine boom)</t>
        </is>
      </c>
      <c r="C13" s="45" t="inlineStr">
        <is>
          <t>https://www.myinstants.com/en/instant/instagram-thud-55328/</t>
        </is>
      </c>
      <c r="D13" s="5" t="inlineStr">
        <is>
          <t>SFX "bwoom"</t>
        </is>
      </c>
      <c r="E13" s="5" t="inlineStr">
        <is>
          <t>Punchline / reveal</t>
        </is>
      </c>
      <c r="F13" s="41" t="inlineStr">
        <is>
          <t>Sedang: rekaman asli tak berlisensi</t>
        </is>
      </c>
      <c r="G13" s="5" t="inlineStr">
        <is>
          <t>Synth "vineboom" (sudah ada)</t>
        </is>
      </c>
      <c r="H13" s="5" t="inlineStr">
        <is>
          <t>'vineboom'</t>
        </is>
      </c>
      <c r="I13" s="40" t="inlineStr">
        <is>
          <t>Siap di pipeline</t>
        </is>
      </c>
      <c r="J13" s="5" t="inlineStr">
        <is>
          <t>A02, A03, A09, A33, A39</t>
        </is>
      </c>
    </row>
    <row r="14" ht="46" customHeight="1">
      <c r="A14" s="9" t="n">
        <v>10</v>
      </c>
      <c r="B14" s="5" t="inlineStr">
        <is>
          <t>Shocked sound</t>
        </is>
      </c>
      <c r="C14" s="45" t="inlineStr">
        <is>
          <t>https://www.myinstants.com/en/instant/shocked-sound-37548/</t>
        </is>
      </c>
      <c r="D14" s="5" t="inlineStr">
        <is>
          <t>SFX kaget</t>
        </is>
      </c>
      <c r="E14" s="5" t="inlineStr">
        <is>
          <t>Kaget</t>
        </is>
      </c>
      <c r="F14" s="41" t="inlineStr">
        <is>
          <t>Sedang</t>
        </is>
      </c>
      <c r="G14" s="5" t="inlineStr">
        <is>
          <t>Synth orisinal "shock"</t>
        </is>
      </c>
      <c r="H14" s="5" t="inlineStr">
        <is>
          <t>'shock'</t>
        </is>
      </c>
      <c r="I14" s="40" t="inlineStr">
        <is>
          <t>Siap di pipeline</t>
        </is>
      </c>
      <c r="J14" s="5" t="inlineStr">
        <is>
          <t>A08, A26</t>
        </is>
      </c>
    </row>
    <row r="15" ht="46" customHeight="1">
      <c r="A15" s="9" t="n">
        <v>11</v>
      </c>
      <c r="B15" s="5" t="inlineStr">
        <is>
          <t>dun dun dunnnnnnnn</t>
        </is>
      </c>
      <c r="C15" s="45" t="inlineStr">
        <is>
          <t>https://www.myinstants.com/en/instant/dun-dun-dunnnnnnnn-68584/</t>
        </is>
      </c>
      <c r="D15" s="5" t="inlineStr">
        <is>
          <t>SFX dramatis</t>
        </is>
      </c>
      <c r="E15" s="5" t="inlineStr">
        <is>
          <t>Fakta menakutkan (denda, akses)</t>
        </is>
      </c>
      <c r="F15" s="41" t="inlineStr">
        <is>
          <t>Sedang</t>
        </is>
      </c>
      <c r="G15" s="5" t="inlineStr">
        <is>
          <t>Synth "dundun" (sudah ada)</t>
        </is>
      </c>
      <c r="H15" s="5" t="inlineStr">
        <is>
          <t>'dundun'</t>
        </is>
      </c>
      <c r="I15" s="40" t="inlineStr">
        <is>
          <t>Siap di pipeline</t>
        </is>
      </c>
      <c r="J15" s="5" t="inlineStr">
        <is>
          <t>A08, A13, A25, A38, A42</t>
        </is>
      </c>
    </row>
    <row r="16" ht="46" customHeight="1">
      <c r="A16" s="9" t="n">
        <v>12</v>
      </c>
      <c r="B16" s="5" t="inlineStr">
        <is>
          <t>Звук фотоаппарата (shutter)</t>
        </is>
      </c>
      <c r="C16" s="45" t="inlineStr">
        <is>
          <t>https://www.myinstants.com/en/instant/zvuk-fotoapparata-61186/</t>
        </is>
      </c>
      <c r="D16" s="5" t="inlineStr">
        <is>
          <t>SFX kamera</t>
        </is>
      </c>
      <c r="E16" s="5" t="inlineStr">
        <is>
          <t>Freeze frame / bukti</t>
        </is>
      </c>
      <c r="F16" s="40" t="inlineStr">
        <is>
          <t>Rendah–sedang</t>
        </is>
      </c>
      <c r="G16" s="5" t="inlineStr">
        <is>
          <t>Synth "shutter" (sudah ada)</t>
        </is>
      </c>
      <c r="H16" s="5" t="inlineStr">
        <is>
          <t>'shutter'</t>
        </is>
      </c>
      <c r="I16" s="40" t="inlineStr">
        <is>
          <t>Siap di pipeline</t>
        </is>
      </c>
      <c r="J16" s="5" t="inlineStr">
        <is>
          <t>A17</t>
        </is>
      </c>
    </row>
    <row r="17" ht="46" customHeight="1">
      <c r="A17" s="9" t="n">
        <v>13</v>
      </c>
      <c r="B17" s="5" t="inlineStr">
        <is>
          <t>Death sound (Fortnite)</t>
        </is>
      </c>
      <c r="C17" s="45" t="inlineStr">
        <is>
          <t>https://www.myinstants.com/en/instant/death-sound-fortnite-13941/</t>
        </is>
      </c>
      <c r="D17" s="5" t="inlineStr">
        <is>
          <t>SFX game</t>
        </is>
      </c>
      <c r="E17" s="5" t="inlineStr">
        <is>
          <t>Gagal/"mati"</t>
        </is>
      </c>
      <c r="F17" s="42" t="inlineStr">
        <is>
          <t>Tinggi: aset game (IP)</t>
        </is>
      </c>
      <c r="G17" s="5" t="inlineStr">
        <is>
          <t>Synth orisinal "gameover" (8-bit)</t>
        </is>
      </c>
      <c r="H17" s="5" t="inlineStr">
        <is>
          <t>'gameover'</t>
        </is>
      </c>
      <c r="I17" s="40" t="inlineStr">
        <is>
          <t>Siap di pipeline</t>
        </is>
      </c>
      <c r="J17" s="5" t="inlineStr">
        <is>
          <t>A19, A29</t>
        </is>
      </c>
    </row>
    <row r="18" ht="46" customHeight="1">
      <c r="A18" s="9" t="n">
        <v>14</v>
      </c>
      <c r="B18" s="5" t="inlineStr">
        <is>
          <t>Emotional Damage Meme</t>
        </is>
      </c>
      <c r="C18" s="45" t="inlineStr">
        <is>
          <t>https://www.myinstants.com/en/instant/emotional-damage-meme-74555/</t>
        </is>
      </c>
      <c r="D18" s="5" t="inlineStr">
        <is>
          <t>Vokal (catchphrase kreator)</t>
        </is>
      </c>
      <c r="E18" s="5" t="inlineStr">
        <is>
          <t>Fakta yang "menyakitkan"</t>
        </is>
      </c>
      <c r="F18" s="42" t="inlineStr">
        <is>
          <t>Tinggi: suara &amp; persona kreator</t>
        </is>
      </c>
      <c r="G18" s="5" t="inlineStr">
        <is>
          <t>Rekam ulang tim dengan suara &amp; logat sendiri (jangan meniru etnis/logat)</t>
        </is>
      </c>
      <c r="H18" s="5" t="inlineStr">
        <is>
          <t>sfx-kustom/emotional-damage.wav</t>
        </is>
      </c>
      <c r="I18" s="41" t="inlineStr">
        <is>
          <t>Perlu rekaman tim → motion/sfx-kustom/</t>
        </is>
      </c>
      <c r="J18" s="5" t="inlineStr">
        <is>
          <t>A08</t>
        </is>
      </c>
    </row>
    <row r="19" ht="46" customHeight="1">
      <c r="A19" s="9" t="n">
        <v>15</v>
      </c>
      <c r="B19" s="5" t="inlineStr">
        <is>
          <t>cat laugh meme 1</t>
        </is>
      </c>
      <c r="C19" s="45" t="inlineStr">
        <is>
          <t>https://www.myinstants.com/en/instant/cat-laugh-meme-1-15761/</t>
        </is>
      </c>
      <c r="D19" s="5" t="inlineStr">
        <is>
          <t>Vokal hewan (klip orang lain)</t>
        </is>
      </c>
      <c r="E19" s="5" t="inlineStr">
        <is>
          <t>Tertawa</t>
        </is>
      </c>
      <c r="F19" s="41" t="inlineStr">
        <is>
          <t>Sedang</t>
        </is>
      </c>
      <c r="G19" s="5" t="inlineStr">
        <is>
          <t>Hindari</t>
        </is>
      </c>
      <c r="H19" s="5" t="inlineStr">
        <is>
          <t>—</t>
        </is>
      </c>
      <c r="I19" s="5" t="inlineStr">
        <is>
          <t>Hindari</t>
        </is>
      </c>
      <c r="J19" s="5" t="inlineStr">
        <is>
          <t>—</t>
        </is>
      </c>
    </row>
    <row r="20" ht="46" customHeight="1">
      <c r="A20" s="9" t="n">
        <v>16</v>
      </c>
      <c r="B20" s="5" t="inlineStr">
        <is>
          <t>Galaxy meme</t>
        </is>
      </c>
      <c r="C20" s="45" t="inlineStr">
        <is>
          <t>https://www.myinstants.com/en/instant/galaxy-meme-18643/</t>
        </is>
      </c>
      <c r="D20" s="5" t="inlineStr">
        <is>
          <t>Ambience "galaxy brain"</t>
        </is>
      </c>
      <c r="E20" s="5" t="inlineStr">
        <is>
          <t>Ide "jenius"</t>
        </is>
      </c>
      <c r="F20" s="41" t="inlineStr">
        <is>
          <t>Sedang</t>
        </is>
      </c>
      <c r="G20" s="5" t="inlineStr">
        <is>
          <t>Synth "shimmer"/"riserLong" (sudah ada)</t>
        </is>
      </c>
      <c r="H20" s="5" t="inlineStr">
        <is>
          <t>'shimmer'</t>
        </is>
      </c>
      <c r="I20" s="40" t="inlineStr">
        <is>
          <t>Siap di pipeline</t>
        </is>
      </c>
      <c r="J20" s="5" t="inlineStr">
        <is>
          <t>A35</t>
        </is>
      </c>
    </row>
    <row r="21" ht="46" customHeight="1">
      <c r="A21" s="9" t="n">
        <v>17</v>
      </c>
      <c r="B21" s="5" t="inlineStr">
        <is>
          <t>Fart Meme Sound</t>
        </is>
      </c>
      <c r="C21" s="45" t="inlineStr">
        <is>
          <t>https://www.myinstants.com/en/instant/fart-meme-sound-46799/</t>
        </is>
      </c>
      <c r="D21" s="5" t="inlineStr">
        <is>
          <t>SFX kentut</t>
        </is>
      </c>
      <c r="E21" s="5" t="inlineStr">
        <is>
          <t>—</t>
        </is>
      </c>
      <c r="F21" s="42" t="inlineStr">
        <is>
          <t>Brand safety</t>
        </is>
      </c>
      <c r="G21" s="5" t="inlineStr">
        <is>
          <t>Hindari (tidak sesuai citra B2B)</t>
        </is>
      </c>
      <c r="H21" s="5" t="inlineStr">
        <is>
          <t>—</t>
        </is>
      </c>
      <c r="I21" s="5" t="inlineStr">
        <is>
          <t>Hindari</t>
        </is>
      </c>
      <c r="J21" s="5" t="inlineStr">
        <is>
          <t>—</t>
        </is>
      </c>
    </row>
    <row r="22" ht="46" customHeight="1">
      <c r="A22" s="9" t="n">
        <v>18</v>
      </c>
      <c r="B22" s="5" t="inlineStr">
        <is>
          <t>Meme final (créditos finales)</t>
        </is>
      </c>
      <c r="C22" s="45" t="inlineStr">
        <is>
          <t>https://www.myinstants.com/en/instant/meme-final-91448/</t>
        </is>
      </c>
      <c r="D22" s="5" t="inlineStr">
        <is>
          <t>Lagu penutup ("directed by…")</t>
        </is>
      </c>
      <c r="E22" s="5" t="inlineStr">
        <is>
          <t>Ending gagal</t>
        </is>
      </c>
      <c r="F22" s="42" t="inlineStr">
        <is>
          <t>Tinggi: lagu berhak cipta</t>
        </is>
      </c>
      <c r="G22" s="5" t="inlineStr">
        <is>
          <t>Synth orisinal "outro" (jingle kocak)</t>
        </is>
      </c>
      <c r="H22" s="5" t="inlineStr">
        <is>
          <t>'outro'</t>
        </is>
      </c>
      <c r="I22" s="40" t="inlineStr">
        <is>
          <t>Siap di pipeline</t>
        </is>
      </c>
      <c r="J22" s="5" t="inlineStr">
        <is>
          <t>A19, A39</t>
        </is>
      </c>
    </row>
    <row r="23" ht="46" customHeight="1">
      <c r="A23" s="9" t="n">
        <v>19</v>
      </c>
      <c r="B23" s="5" t="inlineStr">
        <is>
          <t>RUN vine</t>
        </is>
      </c>
      <c r="C23" s="45" t="inlineStr">
        <is>
          <t>https://www.myinstants.com/en/instant/run-vine/</t>
        </is>
      </c>
      <c r="D23" s="5" t="inlineStr">
        <is>
          <t>Vokal "RUN!"</t>
        </is>
      </c>
      <c r="E23" s="5" t="inlineStr">
        <is>
          <t>Panik (DSR/insiden)</t>
        </is>
      </c>
      <c r="F23" s="42" t="inlineStr">
        <is>
          <t>Tinggi: rekaman orang lain</t>
        </is>
      </c>
      <c r="G23" s="5" t="inlineStr">
        <is>
          <t>Rekam ulang tim: "LARIII!"</t>
        </is>
      </c>
      <c r="H23" s="5" t="inlineStr">
        <is>
          <t>sfx-kustom/lari.wav</t>
        </is>
      </c>
      <c r="I23" s="41" t="inlineStr">
        <is>
          <t>Perlu rekaman tim → motion/sfx-kustom/</t>
        </is>
      </c>
      <c r="J23" s="5" t="inlineStr">
        <is>
          <t>A10</t>
        </is>
      </c>
    </row>
    <row r="24" ht="46" customHeight="1">
      <c r="A24" s="9" t="n">
        <v>20</v>
      </c>
      <c r="B24" s="5" t="inlineStr">
        <is>
          <t>HAha funny laugh</t>
        </is>
      </c>
      <c r="C24" s="45" t="inlineStr">
        <is>
          <t>https://www.myinstants.com/en/instant/haha-funny-laugh-93061/</t>
        </is>
      </c>
      <c r="D24" s="5" t="inlineStr">
        <is>
          <t>Vokal tawa</t>
        </is>
      </c>
      <c r="E24" s="5" t="inlineStr">
        <is>
          <t>Tawa</t>
        </is>
      </c>
      <c r="F24" s="42" t="inlineStr">
        <is>
          <t>Tinggi</t>
        </is>
      </c>
      <c r="G24" s="5" t="inlineStr">
        <is>
          <t>Rekam tawa tim</t>
        </is>
      </c>
      <c r="H24" s="5" t="inlineStr">
        <is>
          <t>sfx-kustom/tawa.wav</t>
        </is>
      </c>
      <c r="I24" s="41" t="inlineStr">
        <is>
          <t>Perlu rekaman tim → motion/sfx-kustom/</t>
        </is>
      </c>
      <c r="J24" s="5" t="inlineStr">
        <is>
          <t>—</t>
        </is>
      </c>
    </row>
    <row r="25" ht="46" customHeight="1">
      <c r="A25" s="9" t="n">
        <v>21</v>
      </c>
      <c r="B25" s="5" t="inlineStr">
        <is>
          <t>Dexter meme</t>
        </is>
      </c>
      <c r="C25" s="45" t="inlineStr">
        <is>
          <t>https://www.myinstants.com/en/instant/dexter-meme-26140/</t>
        </is>
      </c>
      <c r="D25" s="5" t="inlineStr">
        <is>
          <t>Cuplikan serial TV</t>
        </is>
      </c>
      <c r="E25" s="5" t="inlineStr">
        <is>
          <t>—</t>
        </is>
      </c>
      <c r="F25" s="42" t="inlineStr">
        <is>
          <t>Tinggi: IP serial</t>
        </is>
      </c>
      <c r="G25" s="5" t="inlineStr">
        <is>
          <t>Hindari</t>
        </is>
      </c>
      <c r="H25" s="5" t="inlineStr">
        <is>
          <t>—</t>
        </is>
      </c>
      <c r="I25" s="5" t="inlineStr">
        <is>
          <t>Hindari</t>
        </is>
      </c>
      <c r="J25" s="5" t="inlineStr">
        <is>
          <t>—</t>
        </is>
      </c>
    </row>
    <row r="26" ht="46" customHeight="1">
      <c r="A26" s="9" t="n">
        <v>22</v>
      </c>
      <c r="B26" s="5" t="inlineStr">
        <is>
          <t>-999 Social Credit Siren</t>
        </is>
      </c>
      <c r="C26" s="45" t="inlineStr">
        <is>
          <t>https://www.myinstants.com/en/instant/999-social-credit-siren-82729/</t>
        </is>
      </c>
      <c r="D26" s="5" t="inlineStr">
        <is>
          <t>Meme politis</t>
        </is>
      </c>
      <c r="E26" s="5" t="inlineStr">
        <is>
          <t>—</t>
        </is>
      </c>
      <c r="F26" s="42" t="inlineStr">
        <is>
          <t>Tinggi: bermuatan politik</t>
        </is>
      </c>
      <c r="G26" s="5" t="inlineStr">
        <is>
          <t>Hindari; ganti penghitung "aura" (sudah ada)</t>
        </is>
      </c>
      <c r="H26" s="5" t="inlineStr">
        <is>
          <t>'auraDown'</t>
        </is>
      </c>
      <c r="I26" s="40" t="inlineStr">
        <is>
          <t>Siap di pipeline</t>
        </is>
      </c>
      <c r="J26" s="5" t="inlineStr">
        <is>
          <t>A43</t>
        </is>
      </c>
    </row>
    <row r="27" ht="46" customHeight="1">
      <c r="A27" s="9" t="n">
        <v>23</v>
      </c>
      <c r="B27" s="5" t="inlineStr">
        <is>
          <t>asian meme huh?</t>
        </is>
      </c>
      <c r="C27" s="45" t="inlineStr">
        <is>
          <t>https://www.myinstants.com/en/instant/asian-meme-huh-49043/</t>
        </is>
      </c>
      <c r="D27" s="5" t="inlineStr">
        <is>
          <t>Vokal "huh?"</t>
        </is>
      </c>
      <c r="E27" s="5" t="inlineStr">
        <is>
          <t>Bingung</t>
        </is>
      </c>
      <c r="F27" s="42" t="inlineStr">
        <is>
          <t>Tinggi: rekaman orang lain; judul bernuansa stereotip</t>
        </is>
      </c>
      <c r="G27" s="5" t="inlineStr">
        <is>
          <t>Rekam ulang tim: "HAH?" (tanpa meniru logat/etnis)</t>
        </is>
      </c>
      <c r="H27" s="5" t="inlineStr">
        <is>
          <t>sfx-kustom/hah.wav</t>
        </is>
      </c>
      <c r="I27" s="41" t="inlineStr">
        <is>
          <t>Perlu rekaman tim → motion/sfx-kustom/</t>
        </is>
      </c>
      <c r="J27" s="5" t="inlineStr">
        <is>
          <t>A09, A11, A28, A34</t>
        </is>
      </c>
    </row>
    <row r="28" ht="46" customHeight="1">
      <c r="A28" s="9" t="n">
        <v>24</v>
      </c>
      <c r="B28" s="5" t="inlineStr">
        <is>
          <t>*Snore* mimimimimimi</t>
        </is>
      </c>
      <c r="C28" s="45" t="inlineStr">
        <is>
          <t>https://www.myinstants.com/en/instant/snore-mimimimimimi-76562/</t>
        </is>
      </c>
      <c r="D28" s="5" t="inlineStr">
        <is>
          <t>Vokal kartun mendengkur</t>
        </is>
      </c>
      <c r="E28" s="5" t="inlineStr">
        <is>
          <t>Rapat membosankan</t>
        </is>
      </c>
      <c r="F28" s="42" t="inlineStr">
        <is>
          <t>Tinggi: cuplikan kartun</t>
        </is>
      </c>
      <c r="G28" s="5" t="inlineStr">
        <is>
          <t>Rekam ulang tim (dengkur kocak)</t>
        </is>
      </c>
      <c r="H28" s="5" t="inlineStr">
        <is>
          <t>sfx-kustom/dengkur.wav</t>
        </is>
      </c>
      <c r="I28" s="41" t="inlineStr">
        <is>
          <t>Perlu rekaman tim → motion/sfx-kustom/</t>
        </is>
      </c>
      <c r="J28" s="5" t="inlineStr">
        <is>
          <t>A21</t>
        </is>
      </c>
    </row>
    <row r="29" ht="46" customHeight="1">
      <c r="A29" s="9" t="n">
        <v>25</v>
      </c>
      <c r="B29" s="5" t="inlineStr">
        <is>
          <t>outro song</t>
        </is>
      </c>
      <c r="C29" s="45" t="inlineStr">
        <is>
          <t>https://www.myinstants.com/en/instant/outro-song-77850/</t>
        </is>
      </c>
      <c r="D29" s="5" t="inlineStr">
        <is>
          <t>Lagu</t>
        </is>
      </c>
      <c r="E29" s="5" t="inlineStr">
        <is>
          <t>—</t>
        </is>
      </c>
      <c r="F29" s="42" t="inlineStr">
        <is>
          <t>Tinggi: lagu</t>
        </is>
      </c>
      <c r="G29" s="5" t="inlineStr">
        <is>
          <t>Synth orisinal "outro"</t>
        </is>
      </c>
      <c r="H29" s="5" t="inlineStr">
        <is>
          <t>'outro'</t>
        </is>
      </c>
      <c r="I29" s="40" t="inlineStr">
        <is>
          <t>Siap di pipeline</t>
        </is>
      </c>
      <c r="J29" s="5" t="inlineStr">
        <is>
          <t>—</t>
        </is>
      </c>
    </row>
    <row r="30" ht="46" customHeight="1">
      <c r="A30" s="9" t="n">
        <v>26</v>
      </c>
      <c r="B30" s="5" t="inlineStr">
        <is>
          <t>Long brain fart</t>
        </is>
      </c>
      <c r="C30" s="45" t="inlineStr">
        <is>
          <t>https://www.myinstants.com/en/instant/long-brain-fart-60967/</t>
        </is>
      </c>
      <c r="D30" s="5" t="inlineStr">
        <is>
          <t>SFX kentut</t>
        </is>
      </c>
      <c r="E30" s="5" t="inlineStr">
        <is>
          <t>—</t>
        </is>
      </c>
      <c r="F30" s="42" t="inlineStr">
        <is>
          <t>Brand safety</t>
        </is>
      </c>
      <c r="G30" s="5" t="inlineStr">
        <is>
          <t>Hindari</t>
        </is>
      </c>
      <c r="H30" s="5" t="inlineStr">
        <is>
          <t>—</t>
        </is>
      </c>
      <c r="I30" s="5" t="inlineStr">
        <is>
          <t>Hindari</t>
        </is>
      </c>
      <c r="J30" s="5" t="inlineStr">
        <is>
          <t>—</t>
        </is>
      </c>
    </row>
    <row r="31" ht="46" customHeight="1">
      <c r="A31" s="9" t="n">
        <v>27</v>
      </c>
      <c r="B31" s="5" t="inlineStr">
        <is>
          <t>Oh My God Meme</t>
        </is>
      </c>
      <c r="C31" s="45" t="inlineStr">
        <is>
          <t>https://www.myinstants.com/en/instant/oh-my-god-meme-88573/</t>
        </is>
      </c>
      <c r="D31" s="5" t="inlineStr">
        <is>
          <t>Vokal "oh my god"</t>
        </is>
      </c>
      <c r="E31" s="5" t="inlineStr">
        <is>
          <t>Kaget besar</t>
        </is>
      </c>
      <c r="F31" s="42" t="inlineStr">
        <is>
          <t>Tinggi: rekaman orang lain</t>
        </is>
      </c>
      <c r="G31" s="5" t="inlineStr">
        <is>
          <t>Rekam ulang tim: "OH MY GOD" / "YA AMPUN"</t>
        </is>
      </c>
      <c r="H31" s="5" t="inlineStr">
        <is>
          <t>sfx-kustom/omg.wav</t>
        </is>
      </c>
      <c r="I31" s="41" t="inlineStr">
        <is>
          <t>Perlu rekaman tim → motion/sfx-kustom/</t>
        </is>
      </c>
      <c r="J31" s="5" t="inlineStr">
        <is>
          <t>A26</t>
        </is>
      </c>
    </row>
    <row r="32" ht="46" customHeight="1">
      <c r="A32" s="9" t="n">
        <v>28</v>
      </c>
      <c r="B32" s="5" t="inlineStr">
        <is>
          <t>WIDE PUTIN MEME</t>
        </is>
      </c>
      <c r="C32" s="45" t="inlineStr">
        <is>
          <t>https://www.myinstants.com/en/instant/wide-putin-meme-6467/</t>
        </is>
      </c>
      <c r="D32" s="5" t="inlineStr">
        <is>
          <t>Meme tokoh politik</t>
        </is>
      </c>
      <c r="E32" s="5" t="inlineStr">
        <is>
          <t>—</t>
        </is>
      </c>
      <c r="F32" s="42" t="inlineStr">
        <is>
          <t>Tinggi: tokoh politik</t>
        </is>
      </c>
      <c r="G32" s="5" t="inlineStr">
        <is>
          <t>Hindari</t>
        </is>
      </c>
      <c r="H32" s="5" t="inlineStr">
        <is>
          <t>—</t>
        </is>
      </c>
      <c r="I32" s="5" t="inlineStr">
        <is>
          <t>Hindari</t>
        </is>
      </c>
      <c r="J32" s="5" t="inlineStr">
        <is>
          <t>—</t>
        </is>
      </c>
    </row>
    <row r="33" ht="46" customHeight="1">
      <c r="A33" s="9" t="n">
        <v>29</v>
      </c>
      <c r="B33" s="5" t="inlineStr">
        <is>
          <t>Du bist gut genug</t>
        </is>
      </c>
      <c r="C33" s="45" t="inlineStr">
        <is>
          <t>https://www.myinstants.com/en/instant/du-bist-gut-genug-22336/</t>
        </is>
      </c>
      <c r="D33" s="5" t="inlineStr">
        <is>
          <t>Vokal bahasa Jerman</t>
        </is>
      </c>
      <c r="E33" s="5" t="inlineStr">
        <is>
          <t>—</t>
        </is>
      </c>
      <c r="F33" s="41" t="inlineStr">
        <is>
          <t>Sedang</t>
        </is>
      </c>
      <c r="G33" s="5" t="inlineStr">
        <is>
          <t>Tidak relevan</t>
        </is>
      </c>
      <c r="H33" s="5" t="inlineStr">
        <is>
          <t>—</t>
        </is>
      </c>
      <c r="I33" s="5" t="inlineStr">
        <is>
          <t>Hindari</t>
        </is>
      </c>
      <c r="J33" s="5" t="inlineStr">
        <is>
          <t>—</t>
        </is>
      </c>
    </row>
    <row r="34" ht="46" customHeight="1">
      <c r="A34" s="9" t="n">
        <v>30</v>
      </c>
      <c r="B34" s="5" t="inlineStr">
        <is>
          <t>what da dog doin</t>
        </is>
      </c>
      <c r="C34" s="45" t="inlineStr">
        <is>
          <t>https://www.myinstants.com/en/instant/what-da-dog-doin-35890/</t>
        </is>
      </c>
      <c r="D34" s="5" t="inlineStr">
        <is>
          <t>Vokal</t>
        </is>
      </c>
      <c r="E34" s="5" t="inlineStr">
        <is>
          <t>Bingung melihat alur data</t>
        </is>
      </c>
      <c r="F34" s="42" t="inlineStr">
        <is>
          <t>Tinggi</t>
        </is>
      </c>
      <c r="G34" s="5" t="inlineStr">
        <is>
          <t>Rekam ulang tim: "lagi ngapain tuh?"</t>
        </is>
      </c>
      <c r="H34" s="5" t="inlineStr">
        <is>
          <t>sfx-kustom/ngapain.wav</t>
        </is>
      </c>
      <c r="I34" s="41" t="inlineStr">
        <is>
          <t>Perlu rekaman tim → motion/sfx-kustom/</t>
        </is>
      </c>
      <c r="J34" s="5" t="inlineStr">
        <is>
          <t>A34</t>
        </is>
      </c>
    </row>
    <row r="35" ht="46" customHeight="1">
      <c r="A35" s="9" t="n">
        <v>31</v>
      </c>
      <c r="B35" s="5" t="inlineStr">
        <is>
          <t>Meme mp3 (créditos finales)</t>
        </is>
      </c>
      <c r="C35" s="45" t="inlineStr">
        <is>
          <t>https://www.myinstants.com/en/instant/meme-mp3-37545/</t>
        </is>
      </c>
      <c r="D35" s="5" t="inlineStr">
        <is>
          <t>Lagu penutup</t>
        </is>
      </c>
      <c r="E35" s="5" t="inlineStr">
        <is>
          <t>—</t>
        </is>
      </c>
      <c r="F35" s="42" t="inlineStr">
        <is>
          <t>Tinggi</t>
        </is>
      </c>
      <c r="G35" s="5" t="inlineStr">
        <is>
          <t>Synth orisinal "outro"</t>
        </is>
      </c>
      <c r="H35" s="5" t="inlineStr">
        <is>
          <t>'outro'</t>
        </is>
      </c>
      <c r="I35" s="40" t="inlineStr">
        <is>
          <t>Siap di pipeline</t>
        </is>
      </c>
      <c r="J35" s="5" t="inlineStr">
        <is>
          <t>—</t>
        </is>
      </c>
    </row>
    <row r="36" ht="46" customHeight="1">
      <c r="A36" s="9" t="n">
        <v>32</v>
      </c>
      <c r="B36" s="5" t="inlineStr">
        <is>
          <t>Wow Anime meme</t>
        </is>
      </c>
      <c r="C36" s="45" t="inlineStr">
        <is>
          <t>https://www.myinstants.com/en/instant/wow-anime-meme-55752/</t>
        </is>
      </c>
      <c r="D36" s="5" t="inlineStr">
        <is>
          <t>Vokal anime "wow"</t>
        </is>
      </c>
      <c r="E36" s="5" t="inlineStr">
        <is>
          <t>Kagum (fitur keren)</t>
        </is>
      </c>
      <c r="F36" s="42" t="inlineStr">
        <is>
          <t>Tinggi: cuplikan anime</t>
        </is>
      </c>
      <c r="G36" s="5" t="inlineStr">
        <is>
          <t>Rekam ulang tim "WAAAW" atau synth "tada"</t>
        </is>
      </c>
      <c r="H36" s="5" t="inlineStr">
        <is>
          <t>sfx-kustom/wow.wav · 'tada'</t>
        </is>
      </c>
      <c r="I36" s="41" t="inlineStr">
        <is>
          <t>Perlu rekaman tim → motion/sfx-kustom/</t>
        </is>
      </c>
      <c r="J36" s="5" t="inlineStr">
        <is>
          <t>A06, A48</t>
        </is>
      </c>
    </row>
    <row r="37" ht="46" customHeight="1">
      <c r="A37" s="9" t="n">
        <v>33</v>
      </c>
      <c r="B37" s="5" t="inlineStr">
        <is>
          <t>French meme song</t>
        </is>
      </c>
      <c r="C37" s="45" t="inlineStr">
        <is>
          <t>https://www.myinstants.com/en/instant/french-meme-song-55813/</t>
        </is>
      </c>
      <c r="D37" s="5" t="inlineStr">
        <is>
          <t>Lagu</t>
        </is>
      </c>
      <c r="E37" s="5" t="inlineStr">
        <is>
          <t>—</t>
        </is>
      </c>
      <c r="F37" s="42" t="inlineStr">
        <is>
          <t>Tinggi: lagu</t>
        </is>
      </c>
      <c r="G37" s="5" t="inlineStr">
        <is>
          <t>Hindari</t>
        </is>
      </c>
      <c r="H37" s="5" t="inlineStr">
        <is>
          <t>—</t>
        </is>
      </c>
      <c r="I37" s="5" t="inlineStr">
        <is>
          <t>Hindari</t>
        </is>
      </c>
      <c r="J37" s="5" t="inlineStr">
        <is>
          <t>—</t>
        </is>
      </c>
    </row>
    <row r="38" ht="46" customHeight="1">
      <c r="A38" s="9" t="n">
        <v>34</v>
      </c>
      <c r="B38" s="5" t="inlineStr">
        <is>
          <t>Fart Meme Sound (Better and louder)</t>
        </is>
      </c>
      <c r="C38" s="45" t="inlineStr">
        <is>
          <t>https://www.myinstants.com/en/instant/fart-meme-sound-better-and-louder-32265/</t>
        </is>
      </c>
      <c r="D38" s="5" t="inlineStr">
        <is>
          <t>SFX kentut</t>
        </is>
      </c>
      <c r="E38" s="5" t="inlineStr">
        <is>
          <t>—</t>
        </is>
      </c>
      <c r="F38" s="42" t="inlineStr">
        <is>
          <t>Brand safety</t>
        </is>
      </c>
      <c r="G38" s="5" t="inlineStr">
        <is>
          <t>Hindari</t>
        </is>
      </c>
      <c r="H38" s="5" t="inlineStr">
        <is>
          <t>—</t>
        </is>
      </c>
      <c r="I38" s="5" t="inlineStr">
        <is>
          <t>Hindari</t>
        </is>
      </c>
      <c r="J38" s="5" t="inlineStr">
        <is>
          <t>—</t>
        </is>
      </c>
    </row>
    <row r="39" ht="46" customHeight="1">
      <c r="A39" s="9" t="n">
        <v>35</v>
      </c>
      <c r="B39" s="5" t="inlineStr">
        <is>
          <t>'What' Bottom Text Meme</t>
        </is>
      </c>
      <c r="C39" s="45" t="inlineStr">
        <is>
          <t>https://www.myinstants.com/en/instant/what-bottom-text-meme-sanctuary-guardian-s-24591/</t>
        </is>
      </c>
      <c r="D39" s="5" t="inlineStr">
        <is>
          <t>Vokal "what?"</t>
        </is>
      </c>
      <c r="E39" s="5" t="inlineStr">
        <is>
          <t>Bingung</t>
        </is>
      </c>
      <c r="F39" s="42" t="inlineStr">
        <is>
          <t>Tinggi</t>
        </is>
      </c>
      <c r="G39" s="5" t="inlineStr">
        <is>
          <t>Rekam ulang tim "HAH?"</t>
        </is>
      </c>
      <c r="H39" s="5" t="inlineStr">
        <is>
          <t>sfx-kustom/hah.wav</t>
        </is>
      </c>
      <c r="I39" s="41" t="inlineStr">
        <is>
          <t>Perlu rekaman tim → motion/sfx-kustom/</t>
        </is>
      </c>
      <c r="J39" s="5" t="inlineStr">
        <is>
          <t>A11</t>
        </is>
      </c>
    </row>
    <row r="40" ht="46" customHeight="1">
      <c r="A40" s="9" t="n">
        <v>36</v>
      </c>
      <c r="B40" s="5" t="inlineStr">
        <is>
          <t>DEJA VU MEME</t>
        </is>
      </c>
      <c r="C40" s="45" t="inlineStr">
        <is>
          <t>https://www.myinstants.com/en/instant/deja-vu-meme-13405/</t>
        </is>
      </c>
      <c r="D40" s="5" t="inlineStr">
        <is>
          <t>Lagu (eurobeat)</t>
        </is>
      </c>
      <c r="E40" s="5" t="inlineStr">
        <is>
          <t>Revisi yang terulang</t>
        </is>
      </c>
      <c r="F40" s="42" t="inlineStr">
        <is>
          <t>Tinggi: lagu berhak cipta</t>
        </is>
      </c>
      <c r="G40" s="5" t="inlineStr">
        <is>
          <t>Synth orisinal "eurobeat" (sting cepat)</t>
        </is>
      </c>
      <c r="H40" s="5" t="inlineStr">
        <is>
          <t>'eurobeat'</t>
        </is>
      </c>
      <c r="I40" s="40" t="inlineStr">
        <is>
          <t>Siap di pipeline</t>
        </is>
      </c>
      <c r="J40" s="5" t="inlineStr">
        <is>
          <t>A14, A41</t>
        </is>
      </c>
    </row>
    <row r="42">
      <c r="A42" s="8" t="inlineStr">
        <is>
          <t>Cara rekam suara meme versi tim</t>
        </is>
      </c>
    </row>
    <row r="43" ht="30" customHeight="1">
      <c r="A43" s="2" t="inlineStr">
        <is>
          <t>1. Rekam di ruangan senyap, jarak mulut ± 20 cm, 3 take tiap suara (lebay, sedang, singkat). Simpan .wav/.m4a ke motion/sfx-kustom/ (mis. faah.wav).</t>
        </is>
      </c>
    </row>
    <row r="44" ht="30" customHeight="1">
      <c r="A44" s="2" t="inlineStr">
        <is>
          <t>2. Panggil di scenes.js: ['w:kata', 'file:faah', 0.8]. Suara otomatis masuk mix &amp; diseimbangkan dengan VO.</t>
        </is>
      </c>
    </row>
    <row r="45" ht="30" customHeight="1">
      <c r="A45" s="2" t="inlineStr">
        <is>
          <t>3. Jangan meniru logat/etnis atau persona orang tertentu; cukup ekspresinya (kaget, frustrasi, panik).</t>
        </is>
      </c>
    </row>
    <row r="46" ht="30" customHeight="1">
      <c r="A46" s="2" t="inlineStr">
        <is>
          <t>4. Alternatif tanpa rekaman: ElevenLabs v3 dengan tag emosi, mis. "[shouts] FAAAH!" (paket berbayar = lisensi komersial).</t>
        </is>
      </c>
    </row>
    <row r="48">
      <c r="A48" s="46" t="inlineStr">
        <is>
          <t>Dengar semua SFX synth: motion/out/_demo/demo-sfx-meme.mp3</t>
        </is>
      </c>
    </row>
  </sheetData>
  <mergeCells count="5">
    <mergeCell ref="A44:J44"/>
    <mergeCell ref="A45:J45"/>
    <mergeCell ref="A46:J46"/>
    <mergeCell ref="A43:J43"/>
    <mergeCell ref="A2:J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4" r:id="rId30"/>
    <hyperlink xmlns:r="http://schemas.openxmlformats.org/officeDocument/2006/relationships" ref="C35" r:id="rId31"/>
    <hyperlink xmlns:r="http://schemas.openxmlformats.org/officeDocument/2006/relationships" ref="C36" r:id="rId32"/>
    <hyperlink xmlns:r="http://schemas.openxmlformats.org/officeDocument/2006/relationships" ref="C37" r:id="rId33"/>
    <hyperlink xmlns:r="http://schemas.openxmlformats.org/officeDocument/2006/relationships" ref="C38" r:id="rId34"/>
    <hyperlink xmlns:r="http://schemas.openxmlformats.org/officeDocument/2006/relationships" ref="C39" r:id="rId35"/>
    <hyperlink xmlns:r="http://schemas.openxmlformats.org/officeDocument/2006/relationships" ref="C40" r:id="rId3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  <col width="18" customWidth="1" min="4" max="4"/>
    <col width="40" customWidth="1" min="5" max="5"/>
    <col width="26" customWidth="1" min="6" max="6"/>
  </cols>
  <sheetData>
    <row r="1">
      <c r="A1" s="10" t="inlineStr">
        <is>
          <t>Efek VO (voice effect)</t>
        </is>
      </c>
    </row>
    <row r="2" ht="46" customHeight="1">
      <c r="A2" s="2" t="inlineStr">
        <is>
          <t>Tersedia di pipeline: tulis voFx per scene di scenes.js, mis. { id: 's5', voFx: 'berat', ... }. Berlaku untuk TTS maupun VN tim. Dengar semua efek: motion/out/_demo/demo-efek-vo.mp3.</t>
        </is>
      </c>
    </row>
    <row r="4" ht="34" customHeight="1">
      <c r="A4" s="3" t="inlineStr">
        <is>
          <t>Preset (voFx)</t>
        </is>
      </c>
      <c r="B4" s="3" t="inlineStr">
        <is>
          <t>Kesan</t>
        </is>
      </c>
      <c r="C4" s="3" t="inlineStr">
        <is>
          <t>Kapan dipakai</t>
        </is>
      </c>
      <c r="D4" s="3" t="inlineStr">
        <is>
          <t>Contoh konsep</t>
        </is>
      </c>
      <c r="E4" s="3" t="inlineStr">
        <is>
          <t>Resep teknis (ffmpeg)</t>
        </is>
      </c>
      <c r="F4" s="3" t="inlineStr">
        <is>
          <t>Aman untuk sinkron kata?</t>
        </is>
      </c>
    </row>
    <row r="5" ht="34" customHeight="1">
      <c r="A5" s="11" t="inlineStr">
        <is>
          <t>berat</t>
        </is>
      </c>
      <c r="B5" s="5" t="inlineStr">
        <is>
          <t>Suara berat &amp; gelap (narator "sigma", trailer)</t>
        </is>
      </c>
      <c r="C5" s="5" t="inlineStr">
        <is>
          <t>Narator Things to Say, fakta menakutkan, suara Pak Bos</t>
        </is>
      </c>
      <c r="D5" s="5" t="inlineStr">
        <is>
          <t>A03, A08, A18, A39</t>
        </is>
      </c>
      <c r="E5" s="5" t="inlineStr">
        <is>
          <t>rubberband=pitch=0.78, bass +5 dB, kompresor</t>
        </is>
      </c>
      <c r="F5" s="5" t="inlineStr">
        <is>
          <t>Ya</t>
        </is>
      </c>
    </row>
    <row r="6" ht="34" customHeight="1">
      <c r="A6" s="11" t="inlineStr">
        <is>
          <t>tupai</t>
        </is>
      </c>
      <c r="B6" s="5" t="inlineStr">
        <is>
          <t>Suara tinggi lucu (chipmunk)</t>
        </is>
      </c>
      <c r="C6" s="5" t="inlineStr">
        <is>
          <t>Reaksi "HAH?", suara batin panik, versi "anak magang"</t>
        </is>
      </c>
      <c r="D6" s="5" t="inlineStr">
        <is>
          <t>A11, A28</t>
        </is>
      </c>
      <c r="E6" s="5" t="inlineStr">
        <is>
          <t>rubberband=pitch=1.55</t>
        </is>
      </c>
      <c r="F6" s="5" t="inlineStr">
        <is>
          <t>Ya</t>
        </is>
      </c>
    </row>
    <row r="7" ht="34" customHeight="1">
      <c r="A7" s="11" t="inlineStr">
        <is>
          <t>telepon</t>
        </is>
      </c>
      <c r="B7" s="5" t="inlineStr">
        <is>
          <t>Seperti telepon / voice note</t>
        </is>
      </c>
      <c r="C7" s="5" t="inlineStr">
        <is>
          <t>Pesan dari bos, pelanggan, pesan suara di grup</t>
        </is>
      </c>
      <c r="D7" s="5" t="inlineStr">
        <is>
          <t>A17, A41</t>
        </is>
      </c>
      <c r="E7" s="5" t="inlineStr">
        <is>
          <t>highpass 450 Hz + lowpass 3.000 Hz + kompresi</t>
        </is>
      </c>
      <c r="F7" s="5" t="inlineStr">
        <is>
          <t>Ya</t>
        </is>
      </c>
    </row>
    <row r="8" ht="34" customHeight="1">
      <c r="A8" s="11" t="inlineStr">
        <is>
          <t>toa</t>
        </is>
      </c>
      <c r="B8" s="5" t="inlineStr">
        <is>
          <t>Pengumuman lewat toa/megafon</t>
        </is>
      </c>
      <c r="C8" s="5" t="inlineStr">
        <is>
          <t>Pengumuman kantor, "PERHATIAN SEMUA DIVISI…"</t>
        </is>
      </c>
      <c r="D8" s="5" t="inlineStr">
        <is>
          <t>A09, A21</t>
        </is>
      </c>
      <c r="E8" s="5" t="inlineStr">
        <is>
          <t>band 700–3.500 Hz + distorsi ringan + gema pendek</t>
        </is>
      </c>
      <c r="F8" s="5" t="inlineStr">
        <is>
          <t>Ya</t>
        </is>
      </c>
    </row>
    <row r="9" ht="34" customHeight="1">
      <c r="A9" s="11" t="inlineStr">
        <is>
          <t>robot</t>
        </is>
      </c>
      <c r="B9" s="5" t="inlineStr">
        <is>
          <t>Suara mesin/robot</t>
        </is>
      </c>
      <c r="C9" s="5" t="inlineStr">
        <is>
          <t>Suara "sistem", notifikasi otomatis, bot</t>
        </is>
      </c>
      <c r="D9" s="5" t="inlineStr">
        <is>
          <t>A29, A35</t>
        </is>
      </c>
      <c r="E9" s="5" t="inlineStr">
        <is>
          <t>afftfilt robotize (fase dinolkan) + gema</t>
        </is>
      </c>
      <c r="F9" s="5" t="inlineStr">
        <is>
          <t>Ya</t>
        </is>
      </c>
    </row>
    <row r="10" ht="34" customHeight="1">
      <c r="A10" s="11" t="inlineStr">
        <is>
          <t>gema</t>
        </is>
      </c>
      <c r="B10" s="5" t="inlineStr">
        <is>
          <t>Gema dramatis</t>
        </is>
      </c>
      <c r="C10" s="5" t="inlineStr">
        <is>
          <t>Kalimat kunci, penutup, momen "plot twist"</t>
        </is>
      </c>
      <c r="D10" s="5" t="inlineStr">
        <is>
          <t>A39, A42</t>
        </is>
      </c>
      <c r="E10" s="5" t="inlineStr">
        <is>
          <t>aecho 180/360 ms</t>
        </is>
      </c>
      <c r="F10" s="5" t="inlineStr">
        <is>
          <t>Ya</t>
        </is>
      </c>
    </row>
    <row r="11" ht="34" customHeight="1">
      <c r="A11" s="11" t="inlineStr">
        <is>
          <t>aula</t>
        </is>
      </c>
      <c r="B11" s="5" t="inlineStr">
        <is>
          <t>Ruangan besar/aula</t>
        </is>
      </c>
      <c r="C11" s="5" t="inlineStr">
        <is>
          <t>Pidato direksi, momen megah</t>
        </is>
      </c>
      <c r="D11" s="5" t="inlineStr">
        <is>
          <t>A18, A26</t>
        </is>
      </c>
      <c r="E11" s="5" t="inlineStr">
        <is>
          <t>aecho multi-tap 60/120/240 ms</t>
        </is>
      </c>
      <c r="F11" s="5" t="inlineStr">
        <is>
          <t>Ya</t>
        </is>
      </c>
    </row>
    <row r="12" ht="34" customHeight="1">
      <c r="A12" s="11" t="inlineStr">
        <is>
          <t>bisik</t>
        </is>
      </c>
      <c r="B12" s="5" t="inlineStr">
        <is>
          <t>Bisikan (ASMR)</t>
        </is>
      </c>
      <c r="C12" s="5" t="inlineStr">
        <is>
          <t>GRWM, rahasia, "psst…"</t>
        </is>
      </c>
      <c r="D12" s="5" t="inlineStr">
        <is>
          <t>A20</t>
        </is>
      </c>
      <c r="E12" s="5" t="inlineStr">
        <is>
          <t>afftfilt whisperize (fase acak) + highpass</t>
        </is>
      </c>
      <c r="F12" s="5" t="inlineStr">
        <is>
          <t>Ya</t>
        </is>
      </c>
    </row>
    <row r="13" ht="34" customHeight="1">
      <c r="A13" s="11" t="inlineStr">
        <is>
          <t>lebay</t>
        </is>
      </c>
      <c r="B13" s="5" t="inlineStr">
        <is>
          <t>Bass boosted/pecah ala meme (versi aman telinga)</t>
        </is>
      </c>
      <c r="C13" s="5" t="inlineStr">
        <is>
          <t>Punchline super lebay (jarang-jarang!)</t>
        </is>
      </c>
      <c r="D13" s="5" t="inlineStr">
        <is>
          <t>A19, A43</t>
        </is>
      </c>
      <c r="E13" s="5" t="inlineStr">
        <is>
          <t>bass +12 dB + acrusher + limiter</t>
        </is>
      </c>
      <c r="F13" s="5" t="inlineStr">
        <is>
          <t>Ya</t>
        </is>
      </c>
    </row>
    <row r="14" ht="34" customHeight="1">
      <c r="A14" s="11" t="inlineStr">
        <is>
          <t>nangis</t>
        </is>
      </c>
      <c r="B14" s="5" t="inlineStr">
        <is>
          <t>Suara bergetar mau nangis</t>
        </is>
      </c>
      <c r="C14" s="5" t="inlineStr">
        <is>
          <t>Momen sedih-lebay (form tak diisi)</t>
        </is>
      </c>
      <c r="D14" s="5" t="inlineStr">
        <is>
          <t>A14, A41</t>
        </is>
      </c>
      <c r="E14" s="5" t="inlineStr">
        <is>
          <t>vibrato 7 Hz</t>
        </is>
      </c>
      <c r="F14" s="5" t="inlineStr">
        <is>
          <t>Ya</t>
        </is>
      </c>
    </row>
    <row r="15" ht="34" customHeight="1">
      <c r="A15" s="11" t="inlineStr">
        <is>
          <t>slowed</t>
        </is>
      </c>
      <c r="B15" s="5" t="inlineStr">
        <is>
          <t>Slowed + reverb (tren editan)</t>
        </is>
      </c>
      <c r="C15" s="5" t="inlineStr">
        <is>
          <t>Transisi dramatis, pembuka</t>
        </is>
      </c>
      <c r="D15" s="5" t="inlineStr">
        <is>
          <t>—</t>
        </is>
      </c>
      <c r="E15" s="5" t="inlineStr">
        <is>
          <t>asetrate 0,85 + gema</t>
        </is>
      </c>
      <c r="F15" s="5" t="inlineStr">
        <is>
          <t>Tidak (mengubah tempo; khusus potongan tanpa sinkron kata)</t>
        </is>
      </c>
    </row>
  </sheetData>
  <mergeCells count="1">
    <mergeCell ref="A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30" customWidth="1" min="4" max="4"/>
    <col width="20" customWidth="1" min="5" max="5"/>
    <col width="30" customWidth="1" min="6" max="6"/>
    <col width="28" customWidth="1" min="7" max="7"/>
    <col width="40" customWidth="1" min="8" max="8"/>
    <col width="30" customWidth="1" min="9" max="9"/>
  </cols>
  <sheetData>
    <row r="1">
      <c r="A1" s="10" t="inlineStr">
        <is>
          <t>Opsi suara (TTS) yang lebih "Indonesia banget"</t>
        </is>
      </c>
    </row>
    <row r="2" ht="46" customHeight="1">
      <c r="A2" s="2" t="inlineStr">
        <is>
          <t>Cara tercepat tanpa integrasi: buat audio di situs penyedia (mis. ElevenLabs), unduh per bagian, beri nama &lt;KODE&gt;_S1.mp3 dst., taruh di motion/vn/, lalu jalankan node build.js &lt;folder&gt;. Pipeline menyelaraskan otomatis seperti VN tim. Integrasi API penuh (otomatis &amp; sinkron per kata) bisa ditambahkan setelah ada API key.</t>
        </is>
      </c>
    </row>
    <row r="4" ht="34" customHeight="1">
      <c r="A4" s="3" t="inlineStr">
        <is>
          <t>Layanan</t>
        </is>
      </c>
      <c r="B4" s="3" t="inlineStr">
        <is>
          <t>Logat Indonesia</t>
        </is>
      </c>
      <c r="C4" s="3" t="inlineStr">
        <is>
          <t>Ekspresi / emosi</t>
        </is>
      </c>
      <c r="D4" s="3" t="inlineStr">
        <is>
          <t>Timing kata (sinkron animasi)</t>
        </is>
      </c>
      <c r="E4" s="3" t="inlineStr">
        <is>
          <t>Lisensi komersial</t>
        </is>
      </c>
      <c r="F4" s="3" t="inlineStr">
        <is>
          <t>Kisaran biaya</t>
        </is>
      </c>
      <c r="G4" s="3" t="inlineStr">
        <is>
          <t>Yang dibutuhkan</t>
        </is>
      </c>
      <c r="H4" s="3" t="inlineStr">
        <is>
          <t>Catatan / rekomendasi</t>
        </is>
      </c>
      <c r="I4" s="3" t="inlineStr">
        <is>
          <t>Sumber</t>
        </is>
      </c>
    </row>
    <row r="5" ht="64" customHeight="1">
      <c r="A5" s="11" t="inlineStr">
        <is>
          <t>edge-tts (dipakai sekarang)</t>
        </is>
      </c>
      <c r="B5" s="5" t="inlineStr">
        <is>
          <t>Ardi &amp; Gadis: baku, agak kaku</t>
        </is>
      </c>
      <c r="C5" s="5" t="inlineStr">
        <is>
          <t>Terbatas</t>
        </is>
      </c>
      <c r="D5" s="5" t="inlineStr">
        <is>
          <t>Ya (timing per kata)</t>
        </is>
      </c>
      <c r="E5" s="5" t="inlineStr">
        <is>
          <t>TIDAK untuk iklan komersial (layanan Read Aloud Edge)</t>
        </is>
      </c>
      <c r="F5" s="5" t="inlineStr">
        <is>
          <t>Gratis</t>
        </is>
      </c>
      <c r="G5" s="5" t="inlineStr">
        <is>
          <t>Tidak ada</t>
        </is>
      </c>
      <c r="H5" s="5" t="inlineStr">
        <is>
          <t>Hanya placeholder untuk draf &amp; timing.</t>
        </is>
      </c>
      <c r="I5" s="5" t="inlineStr"/>
    </row>
    <row r="6" ht="64" customHeight="1">
      <c r="A6" s="11" t="inlineStr">
        <is>
          <t>Azure AI Speech</t>
        </is>
      </c>
      <c r="B6" s="5" t="inlineStr">
        <is>
          <t>Suara sama (Ardi/Gadis), resmi</t>
        </is>
      </c>
      <c r="C6" s="5" t="inlineStr">
        <is>
          <t>Terbatas untuk id-ID</t>
        </is>
      </c>
      <c r="D6" s="5" t="inlineStr">
        <is>
          <t>Ya</t>
        </is>
      </c>
      <c r="E6" s="5" t="inlineStr">
        <is>
          <t>Ya</t>
        </is>
      </c>
      <c r="F6" s="5" t="inlineStr">
        <is>
          <t>Bayar per karakter</t>
        </is>
      </c>
      <c r="G6" s="5" t="inlineStr">
        <is>
          <t>Akun Azure + kunci API (diisi sendiri)</t>
        </is>
      </c>
      <c r="H6" s="5" t="inlineStr">
        <is>
          <t>Pengganti resmi tercepat bila suka suara sekarang.</t>
        </is>
      </c>
      <c r="I6" s="5" t="inlineStr"/>
    </row>
    <row r="7" ht="64" customHeight="1">
      <c r="A7" s="47" t="inlineStr">
        <is>
          <t>ElevenLabs (Eleven v3 / Multilingual v2)</t>
        </is>
      </c>
      <c r="B7" s="40" t="inlineStr">
        <is>
          <t>Sangat natural; ada suara lokal (Andi, Bian, Dakocan, Putri Maharani, Ahmad, dll.)</t>
        </is>
      </c>
      <c r="C7" s="40" t="inlineStr">
        <is>
          <t>Sangat ekspresif; tag [whispers] [laughs] [sarcastically] [shouts]</t>
        </is>
      </c>
      <c r="D7" s="40" t="inlineStr">
        <is>
          <t>Ya: endpoint with-timestamps (per karakter) → langsung sinkron</t>
        </is>
      </c>
      <c r="E7" s="40" t="inlineStr">
        <is>
          <t>Ya, mulai paket Starter</t>
        </is>
      </c>
      <c r="F7" s="40" t="inlineStr">
        <is>
          <t>Starter ± US$6/bln (30 rb kredit); Creator US$22/bln (121 rb) (cek harga terbaru)</t>
        </is>
      </c>
      <c r="G7" s="40" t="inlineStr">
        <is>
          <t>Akun + API key (disetel sendiri sebagai env var, bukan dikirim ke saya)</t>
        </is>
      </c>
      <c r="H7" s="40" t="inlineStr">
        <is>
          <t>REKOMENDASI UTAMA untuk video meme (bisa teriak "FAAAH", bisik, sarkas). 11 video ± 10 rb karakter/bulan.</t>
        </is>
      </c>
      <c r="I7" s="48" t="inlineStr">
        <is>
          <t>https://elevenlabs.io/pricing</t>
        </is>
      </c>
    </row>
    <row r="8" ht="64" customHeight="1">
      <c r="A8" s="11" t="inlineStr">
        <is>
          <t>Google Cloud TTS: Chirp 3 HD (id-ID)</t>
        </is>
      </c>
      <c r="B8" s="5" t="inlineStr">
        <is>
          <t>Natural, gaya percakapan</t>
        </is>
      </c>
      <c r="C8" s="5" t="inlineStr">
        <is>
          <t>Sedang</t>
        </is>
      </c>
      <c r="D8" s="5" t="inlineStr">
        <is>
          <t>Perlu dicek; kalau tidak ada, audio diselaraskan otomatis seperti VN</t>
        </is>
      </c>
      <c r="E8" s="5" t="inlineStr">
        <is>
          <t>Ya</t>
        </is>
      </c>
      <c r="F8" s="5" t="inlineStr">
        <is>
          <t>Bayar per karakter</t>
        </is>
      </c>
      <c r="G8" s="5" t="inlineStr">
        <is>
          <t>Akun GCP + kunci</t>
        </is>
      </c>
      <c r="H8" s="5" t="inlineStr">
        <is>
          <t>Alternatif kuat, stabil untuk volume besar.</t>
        </is>
      </c>
      <c r="I8" s="45" t="inlineStr">
        <is>
          <t>https://docs.cloud.google.com/text-to-speech/docs/chirp3-hd</t>
        </is>
      </c>
    </row>
    <row r="9" ht="64" customHeight="1">
      <c r="A9" s="11" t="inlineStr">
        <is>
          <t>Prosa.ai (lokal Indonesia)</t>
        </is>
      </c>
      <c r="B9" s="5" t="inlineStr">
        <is>
          <t>Sangat Indonesia (Dimas formal/ekspresif, Ocha ramah)</t>
        </is>
      </c>
      <c r="C9" s="5" t="inlineStr">
        <is>
          <t>Sedang</t>
        </is>
      </c>
      <c r="D9" s="5" t="inlineStr">
        <is>
          <t>Perlu dicek; bisa diselaraskan otomatis seperti VN</t>
        </is>
      </c>
      <c r="E9" s="5" t="inlineStr">
        <is>
          <t>Cek ketentuan paket</t>
        </is>
      </c>
      <c r="F9" s="5" t="inlineStr">
        <is>
          <t>Lite Rp50 rb/35 rb karakter; Rp150 rb/100 rb; Pro Rp450 rb/500 rb per bulan (per berita; cek terbaru)</t>
        </is>
      </c>
      <c r="G9" s="5" t="inlineStr">
        <is>
          <t>Akun Prosa</t>
        </is>
      </c>
      <c r="H9" s="5" t="inlineStr">
        <is>
          <t>Pilihan lokal, logat paling "Indonesia".</t>
        </is>
      </c>
      <c r="I9" s="45" t="inlineStr">
        <is>
          <t>https://gizmologi.id/aplikasi/prosa-ai-hadirkan-pembaruan-text-to-speech/</t>
        </is>
      </c>
    </row>
    <row r="10" ht="64" customHeight="1">
      <c r="A10" s="11" t="inlineStr">
        <is>
          <t>Rekaman tim (VN)</t>
        </is>
      </c>
      <c r="B10" s="5" t="inlineStr">
        <is>
          <t>Paling otentik</t>
        </is>
      </c>
      <c r="C10" s="5" t="inlineStr">
        <is>
          <t>Sesuai pengisi suara</t>
        </is>
      </c>
      <c r="D10" s="5" t="inlineStr">
        <is>
          <t>Ya: diselaraskan otomatis (vn/)</t>
        </is>
      </c>
      <c r="E10" s="5" t="inlineStr">
        <is>
          <t>Ya (milik sendiri)</t>
        </is>
      </c>
      <c r="F10" s="5" t="inlineStr">
        <is>
          <t>Gratis</t>
        </is>
      </c>
      <c r="G10" s="5" t="inlineStr">
        <is>
          <t>HP + ruangan senyap</t>
        </is>
      </c>
      <c r="H10" s="5" t="inlineStr">
        <is>
          <t>Terbaik untuk suara meme (FAAAH, HAH?) &amp; karakter.</t>
        </is>
      </c>
      <c r="I10" s="5" t="inlineStr"/>
    </row>
  </sheetData>
  <mergeCells count="1">
    <mergeCell ref="A2:I2"/>
  </mergeCells>
  <hyperlinks>
    <hyperlink xmlns:r="http://schemas.openxmlformats.org/officeDocument/2006/relationships" ref="I7" r:id="rId1"/>
    <hyperlink xmlns:r="http://schemas.openxmlformats.org/officeDocument/2006/relationships" ref="I8" r:id="rId2"/>
    <hyperlink xmlns:r="http://schemas.openxmlformats.org/officeDocument/2006/relationships" ref="I9" r:id="rId3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30" customWidth="1" min="4" max="4"/>
    <col width="40" customWidth="1" min="5" max="5"/>
    <col width="30" customWidth="1" min="6" max="6"/>
    <col width="28" customWidth="1" min="7" max="7"/>
  </cols>
  <sheetData>
    <row r="1">
      <c r="A1" s="10" t="inlineStr">
        <is>
          <t>Kalender tayang: Oktober 2026 → PP 33 berlaku (16 Januari 2027)</t>
        </is>
      </c>
    </row>
    <row r="2" ht="46" customHeight="1">
      <c r="A2" s="2" t="inlineStr">
        <is>
          <t>Video modul (M) + unggulan dijadwalkan berdampingan dengan konten meme (A) dan video pendek (P).</t>
        </is>
      </c>
    </row>
    <row r="4" ht="34" customHeight="1">
      <c r="A4" s="3" t="inlineStr">
        <is>
          <t>Minggu</t>
        </is>
      </c>
      <c r="B4" s="3" t="inlineStr">
        <is>
          <t>Tanggal</t>
        </is>
      </c>
      <c r="C4" s="3" t="inlineStr">
        <is>
          <t>Fase</t>
        </is>
      </c>
      <c r="D4" s="3" t="inlineStr">
        <is>
          <t>Momentum</t>
        </is>
      </c>
      <c r="E4" s="3" t="inlineStr">
        <is>
          <t>Video modul / unggulan</t>
        </is>
      </c>
      <c r="F4" s="3" t="inlineStr">
        <is>
          <t>Konten organik (meme &amp; pendek)</t>
        </is>
      </c>
      <c r="G4" s="3" t="inlineStr">
        <is>
          <t>Konten berbayar (konversi)</t>
        </is>
      </c>
    </row>
    <row r="5" ht="34" customHeight="1">
      <c r="A5" s="9" t="inlineStr">
        <is>
          <t>M1</t>
        </is>
      </c>
      <c r="B5" s="5" t="inlineStr">
        <is>
          <t>5 Oct – 11 Oct 2026</t>
        </is>
      </c>
      <c r="C5" s="5" t="inlineStr">
        <is>
          <t>Awareness</t>
        </is>
      </c>
      <c r="D5" s="5" t="inlineStr">
        <is>
          <t>Musim anggaran 2027 dimulai</t>
        </is>
      </c>
      <c r="E5" s="5" t="inlineStr">
        <is>
          <t>Unggulan 3 menit (YouTube/LinkedIn) + versi 60 dtk (Reels) · M02</t>
        </is>
      </c>
      <c r="F5" s="5" t="inlineStr">
        <is>
          <t>A04, A12, A43</t>
        </is>
      </c>
      <c r="G5" s="5" t="inlineStr">
        <is>
          <t>A27</t>
        </is>
      </c>
    </row>
    <row r="6" ht="34" customHeight="1">
      <c r="A6" s="9" t="inlineStr">
        <is>
          <t>M2</t>
        </is>
      </c>
      <c r="B6" s="5" t="inlineStr">
        <is>
          <t>12 Oct – 18 Oct 2026</t>
        </is>
      </c>
      <c r="C6" s="5" t="inlineStr">
        <is>
          <t>Awareness</t>
        </is>
      </c>
      <c r="D6" s="5" t="inlineStr">
        <is>
          <t>—</t>
        </is>
      </c>
      <c r="E6" s="5" t="inlineStr">
        <is>
          <t>M04 · M07</t>
        </is>
      </c>
      <c r="F6" s="5" t="inlineStr">
        <is>
          <t>A02, A17, A18</t>
        </is>
      </c>
      <c r="G6" s="5" t="inlineStr">
        <is>
          <t>A30</t>
        </is>
      </c>
    </row>
    <row r="7" ht="34" customHeight="1">
      <c r="A7" s="9" t="inlineStr">
        <is>
          <t>M3</t>
        </is>
      </c>
      <c r="B7" s="5" t="inlineStr">
        <is>
          <t>19 Oct – 25 Oct 2026</t>
        </is>
      </c>
      <c r="C7" s="5" t="inlineStr">
        <is>
          <t>Awareness</t>
        </is>
      </c>
      <c r="D7" s="5" t="inlineStr">
        <is>
          <t>—</t>
        </is>
      </c>
      <c r="E7" s="5" t="inlineStr">
        <is>
          <t>M08 · M11</t>
        </is>
      </c>
      <c r="F7" s="5" t="inlineStr">
        <is>
          <t>A01, A21, A45</t>
        </is>
      </c>
      <c r="G7" s="5" t="inlineStr">
        <is>
          <t>A36</t>
        </is>
      </c>
    </row>
    <row r="8" ht="34" customHeight="1">
      <c r="A8" s="9" t="inlineStr">
        <is>
          <t>M4</t>
        </is>
      </c>
      <c r="B8" s="5" t="inlineStr">
        <is>
          <t>26 Oct – 1 Nov 2026</t>
        </is>
      </c>
      <c r="C8" s="5" t="inlineStr">
        <is>
          <t>Awareness → Pertimbangan</t>
        </is>
      </c>
      <c r="D8" s="5" t="inlineStr">
        <is>
          <t>—</t>
        </is>
      </c>
      <c r="E8" s="5" t="inlineStr">
        <is>
          <t>M05 · M13</t>
        </is>
      </c>
      <c r="F8" s="5" t="inlineStr">
        <is>
          <t>A03, A06, A16</t>
        </is>
      </c>
      <c r="G8" s="5" t="inlineStr">
        <is>
          <t>A35</t>
        </is>
      </c>
    </row>
    <row r="9" ht="34" customHeight="1">
      <c r="A9" s="9" t="inlineStr">
        <is>
          <t>M5</t>
        </is>
      </c>
      <c r="B9" s="5" t="inlineStr">
        <is>
          <t>2 Nov – 8 Nov 2026</t>
        </is>
      </c>
      <c r="C9" s="5" t="inlineStr">
        <is>
          <t>Pertimbangan</t>
        </is>
      </c>
      <c r="D9" s="5" t="inlineStr">
        <is>
          <t>Anggaran difinalkan</t>
        </is>
      </c>
      <c r="E9" s="5" t="inlineStr">
        <is>
          <t>M14 · M15</t>
        </is>
      </c>
      <c r="F9" s="5" t="inlineStr">
        <is>
          <t>A14, A19, A41</t>
        </is>
      </c>
      <c r="G9" s="5" t="inlineStr">
        <is>
          <t>A08, A27</t>
        </is>
      </c>
    </row>
    <row r="10" ht="34" customHeight="1">
      <c r="A10" s="9" t="inlineStr">
        <is>
          <t>M6</t>
        </is>
      </c>
      <c r="B10" s="5" t="inlineStr">
        <is>
          <t>9 Nov – 15 Nov 2026</t>
        </is>
      </c>
      <c r="C10" s="5" t="inlineStr">
        <is>
          <t>Pertimbangan</t>
        </is>
      </c>
      <c r="D10" s="5" t="inlineStr">
        <is>
          <t>11.11</t>
        </is>
      </c>
      <c r="E10" s="5" t="inlineStr">
        <is>
          <t>M16 · M17</t>
        </is>
      </c>
      <c r="F10" s="5" t="inlineStr">
        <is>
          <t>A09, A44</t>
        </is>
      </c>
      <c r="G10" s="5" t="inlineStr">
        <is>
          <t>A15</t>
        </is>
      </c>
    </row>
    <row r="11" ht="34" customHeight="1">
      <c r="A11" s="9" t="inlineStr">
        <is>
          <t>M7</t>
        </is>
      </c>
      <c r="B11" s="5" t="inlineStr">
        <is>
          <t>16 Nov – 22 Nov 2026</t>
        </is>
      </c>
      <c r="C11" s="5" t="inlineStr">
        <is>
          <t>Pertimbangan</t>
        </is>
      </c>
      <c r="D11" s="5" t="inlineStr">
        <is>
          <t>—</t>
        </is>
      </c>
      <c r="E11" s="5" t="inlineStr">
        <is>
          <t>M12 · M19</t>
        </is>
      </c>
      <c r="F11" s="5" t="inlineStr">
        <is>
          <t>A05, A11, A28</t>
        </is>
      </c>
      <c r="G11" s="5" t="inlineStr">
        <is>
          <t>A26, A46</t>
        </is>
      </c>
    </row>
    <row r="12" ht="34" customHeight="1">
      <c r="A12" s="9" t="inlineStr">
        <is>
          <t>M8</t>
        </is>
      </c>
      <c r="B12" s="5" t="inlineStr">
        <is>
          <t>23 Nov – 29 Nov 2026</t>
        </is>
      </c>
      <c r="C12" s="5" t="inlineStr">
        <is>
          <t>Pertimbangan → Konversi</t>
        </is>
      </c>
      <c r="D12" s="5" t="inlineStr">
        <is>
          <t>Menjelang 12.12</t>
        </is>
      </c>
      <c r="E12" s="5" t="inlineStr">
        <is>
          <t>M09 · M10</t>
        </is>
      </c>
      <c r="F12" s="5" t="inlineStr">
        <is>
          <t>A25, A07</t>
        </is>
      </c>
      <c r="G12" s="5" t="inlineStr">
        <is>
          <t>A31, A33</t>
        </is>
      </c>
    </row>
    <row r="13" ht="34" customHeight="1">
      <c r="A13" s="9" t="inlineStr">
        <is>
          <t>M9</t>
        </is>
      </c>
      <c r="B13" s="5" t="inlineStr">
        <is>
          <t>30 Nov – 6 Dec 2026</t>
        </is>
      </c>
      <c r="C13" s="5" t="inlineStr">
        <is>
          <t>Konversi</t>
        </is>
      </c>
      <c r="D13" s="5" t="inlineStr">
        <is>
          <t>3 Des: Hari Disabilitas Internasional</t>
        </is>
      </c>
      <c r="E13" s="5" t="inlineStr">
        <is>
          <t>M01 · M03 (3 Des: repost M10)</t>
        </is>
      </c>
      <c r="F13" s="5" t="inlineStr">
        <is>
          <t>A32, A22</t>
        </is>
      </c>
      <c r="G13" s="5" t="inlineStr">
        <is>
          <t>A37</t>
        </is>
      </c>
    </row>
    <row r="14" ht="34" customHeight="1">
      <c r="A14" s="9" t="inlineStr">
        <is>
          <t>M10</t>
        </is>
      </c>
      <c r="B14" s="5" t="inlineStr">
        <is>
          <t>7 Dec – 13 Dec 2026</t>
        </is>
      </c>
      <c r="C14" s="5" t="inlineStr">
        <is>
          <t>Konversi</t>
        </is>
      </c>
      <c r="D14" s="5" t="inlineStr">
        <is>
          <t>12.12</t>
        </is>
      </c>
      <c r="E14" s="5" t="inlineStr">
        <is>
          <t>M20 · M21</t>
        </is>
      </c>
      <c r="F14" s="5" t="inlineStr">
        <is>
          <t>A22, A25</t>
        </is>
      </c>
      <c r="G14" s="5" t="inlineStr">
        <is>
          <t>A47 (live)</t>
        </is>
      </c>
    </row>
    <row r="15" ht="34" customHeight="1">
      <c r="A15" s="9" t="inlineStr">
        <is>
          <t>M11</t>
        </is>
      </c>
      <c r="B15" s="5" t="inlineStr">
        <is>
          <t>14 Dec – 20 Dec 2026</t>
        </is>
      </c>
      <c r="C15" s="5" t="inlineStr">
        <is>
          <t>Konversi</t>
        </is>
      </c>
      <c r="D15" s="5" t="inlineStr">
        <is>
          <t>—</t>
        </is>
      </c>
      <c r="E15" s="5" t="inlineStr">
        <is>
          <t>M18 · M22</t>
        </is>
      </c>
      <c r="F15" s="5" t="inlineStr">
        <is>
          <t>A13, A39</t>
        </is>
      </c>
      <c r="G15" s="5" t="inlineStr">
        <is>
          <t>A23 (mulai hitung mundur)</t>
        </is>
      </c>
    </row>
    <row r="16" ht="34" customHeight="1">
      <c r="A16" s="9" t="inlineStr">
        <is>
          <t>M12</t>
        </is>
      </c>
      <c r="B16" s="5" t="inlineStr">
        <is>
          <t>21 Dec – 27 Dec 2026</t>
        </is>
      </c>
      <c r="C16" s="5" t="inlineStr">
        <is>
          <t>Konversi</t>
        </is>
      </c>
      <c r="D16" s="5" t="inlineStr">
        <is>
          <t>Natal</t>
        </is>
      </c>
      <c r="E16" s="5" t="inlineStr">
        <is>
          <t>M06 · unggulan versi 30 dtk</t>
        </is>
      </c>
      <c r="F16" s="5" t="inlineStr">
        <is>
          <t>A10, A34</t>
        </is>
      </c>
      <c r="G16" s="5" t="inlineStr">
        <is>
          <t>A23</t>
        </is>
      </c>
    </row>
    <row r="17" ht="34" customHeight="1">
      <c r="A17" s="9" t="inlineStr">
        <is>
          <t>M13</t>
        </is>
      </c>
      <c r="B17" s="5" t="inlineStr">
        <is>
          <t>28 Dec – 3 Jan 2027</t>
        </is>
      </c>
      <c r="C17" s="5" t="inlineStr">
        <is>
          <t>Konversi</t>
        </is>
      </c>
      <c r="D17" s="5" t="inlineStr">
        <is>
          <t>Tahun Baru</t>
        </is>
      </c>
      <c r="E17" s="5" t="inlineStr">
        <is>
          <t>Rekap: unggulan 60 dtk</t>
        </is>
      </c>
      <c r="F17" s="5" t="inlineStr">
        <is>
          <t>A24</t>
        </is>
      </c>
      <c r="G17" s="5" t="inlineStr">
        <is>
          <t>A23, A46</t>
        </is>
      </c>
    </row>
    <row r="18" ht="34" customHeight="1">
      <c r="A18" s="9" t="inlineStr">
        <is>
          <t>M14</t>
        </is>
      </c>
      <c r="B18" s="5" t="inlineStr">
        <is>
          <t>4 Jan – 10 Jan 2027</t>
        </is>
      </c>
      <c r="C18" s="5" t="inlineStr">
        <is>
          <t>Peluncuran PP 33</t>
        </is>
      </c>
      <c r="D18" s="5" t="inlineStr">
        <is>
          <t>—</t>
        </is>
      </c>
      <c r="E18" s="5" t="inlineStr">
        <is>
          <t>M02 · M20</t>
        </is>
      </c>
      <c r="F18" s="5" t="inlineStr">
        <is>
          <t>A24, A40</t>
        </is>
      </c>
      <c r="G18" s="5" t="inlineStr">
        <is>
          <t>A23, A48</t>
        </is>
      </c>
    </row>
    <row r="19" ht="34" customHeight="1">
      <c r="A19" s="9" t="inlineStr">
        <is>
          <t>M15</t>
        </is>
      </c>
      <c r="B19" s="5" t="inlineStr">
        <is>
          <t>11 Jan – 17 Jan 2027</t>
        </is>
      </c>
      <c r="C19" s="5" t="inlineStr">
        <is>
          <t>Peluncuran PP 33</t>
        </is>
      </c>
      <c r="D19" s="5" t="inlineStr">
        <is>
          <t>16 Jan 2027: PP 33 berlaku</t>
        </is>
      </c>
      <c r="E19" s="5" t="inlineStr">
        <is>
          <t>Unggulan (tayang ulang) · M11</t>
        </is>
      </c>
      <c r="F19" s="5" t="inlineStr">
        <is>
          <t>A05, A42</t>
        </is>
      </c>
      <c r="G19" s="5" t="inlineStr">
        <is>
          <t>A23 (hari H), A26</t>
        </is>
      </c>
    </row>
    <row r="20" ht="34" customHeight="1">
      <c r="A20" s="9" t="inlineStr">
        <is>
          <t>M16</t>
        </is>
      </c>
      <c r="B20" s="5" t="inlineStr">
        <is>
          <t>18 Jan – 24 Jan 2027</t>
        </is>
      </c>
      <c r="C20" s="5" t="inlineStr">
        <is>
          <t>Pasca peluncuran</t>
        </is>
      </c>
      <c r="D20" s="5" t="inlineStr">
        <is>
          <t>—</t>
        </is>
      </c>
      <c r="E20" s="5" t="inlineStr">
        <is>
          <t>Evaluasi &amp; tayang ulang terbaik</t>
        </is>
      </c>
      <c r="F20" s="5" t="inlineStr">
        <is>
          <t>A20, A38</t>
        </is>
      </c>
      <c r="G20" s="5" t="inlineStr">
        <is>
          <t>A37</t>
        </is>
      </c>
    </row>
  </sheetData>
  <mergeCells count="1">
    <mergeCell ref="A2:G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34" customWidth="1" min="3" max="3"/>
    <col width="40" customWidth="1" min="4" max="4"/>
    <col width="20" customWidth="1" min="5" max="5"/>
    <col width="20" customWidth="1" min="6" max="6"/>
  </cols>
  <sheetData>
    <row r="1">
      <c r="A1" s="10" t="inlineStr">
        <is>
          <t>Metodologi skor &amp; jenis hook</t>
        </is>
      </c>
    </row>
    <row r="2" ht="34" customHeight="1">
      <c r="A2" s="2" t="inlineStr">
        <is>
          <t>Skor adalah ESTIMASI EDITORIAL (penilaian berdasar tren, relevansi, dan kekuatan pesan), bukan data historis. Validasi dengan uji tayang kecil (lihat KPI).</t>
        </is>
      </c>
    </row>
    <row r="4">
      <c r="A4" s="15" t="inlineStr">
        <is>
          <t>Bobot skor total (ubah angka di kolom C; skor total &amp; peringkat di sheet "Rancangan Ads Meme" ikut berubah)</t>
        </is>
      </c>
    </row>
    <row r="5">
      <c r="B5" s="15" t="inlineStr">
        <is>
          <t>Awareness</t>
        </is>
      </c>
      <c r="C5" s="49" t="n">
        <v>0.35</v>
      </c>
    </row>
    <row r="6">
      <c r="B6" s="15" t="inlineStr">
        <is>
          <t>Convert</t>
        </is>
      </c>
      <c r="C6" s="49" t="n">
        <v>0.35</v>
      </c>
    </row>
    <row r="7">
      <c r="B7" s="15" t="inlineStr">
        <is>
          <t>Share</t>
        </is>
      </c>
      <c r="C7" s="49" t="n">
        <v>0.3</v>
      </c>
    </row>
    <row r="8">
      <c r="B8" s="15" t="inlineStr">
        <is>
          <t>Total bobot</t>
        </is>
      </c>
      <c r="C8" s="50">
        <f>SUM(C5:C7)</f>
        <v/>
      </c>
    </row>
    <row r="10">
      <c r="A10" s="15" t="inlineStr">
        <is>
          <t>Kriteria skor</t>
        </is>
      </c>
    </row>
    <row r="11" ht="30" customHeight="1">
      <c r="B11" s="15" t="inlineStr">
        <is>
          <t>Relatable</t>
        </is>
      </c>
      <c r="C11" s="2" t="inlineStr">
        <is>
          <t>Seberapa cepat target merasa "ini gue banget" dalam 3 detik pertama.</t>
        </is>
      </c>
    </row>
    <row r="12" ht="30" customHeight="1">
      <c r="B12" s="15" t="inlineStr">
        <is>
          <t>Awareness</t>
        </is>
      </c>
      <c r="C12" s="2" t="inlineStr">
        <is>
          <t>Potensi jangkauan: hook kuat, format dikenal luas &amp; masih naik, relevan bagi audiens luas.</t>
        </is>
      </c>
    </row>
    <row r="13" ht="30" customHeight="1">
      <c r="B13" s="15" t="inlineStr">
        <is>
          <t>Convert</t>
        </is>
      </c>
      <c r="C13" s="2" t="inlineStr">
        <is>
          <t>Kejelasan masalah → modul/layanan, CTA konkret (Pre Check, demo, konsultasi), audiens = pengambil keputusan.</t>
        </is>
      </c>
    </row>
    <row r="14" ht="30" customHeight="1">
      <c r="B14" s="15" t="inlineStr">
        <is>
          <t>Share</t>
        </is>
      </c>
      <c r="C14" s="2" t="inlineStr">
        <is>
          <t>Dorongan "tag temanmu": humor identitas profesi, mudah ditiru, aman merek.</t>
        </is>
      </c>
    </row>
    <row r="15" ht="30" customHeight="1">
      <c r="B15" s="15" t="inlineStr">
        <is>
          <t>Indeks viral</t>
        </is>
      </c>
      <c r="C15" s="2" t="inlineStr">
        <is>
          <t>Rata-rata Relatable dan Share.</t>
        </is>
      </c>
    </row>
    <row r="16" ht="30" customHeight="1">
      <c r="B16" s="15" t="inlineStr">
        <is>
          <t>Skala</t>
        </is>
      </c>
      <c r="C16" s="2" t="inlineStr">
        <is>
          <t>1–3 lemah · 4–6 cukup · 7–8 kuat · 9–10 sangat kuat.</t>
        </is>
      </c>
    </row>
    <row r="18">
      <c r="A18" s="15" t="inlineStr">
        <is>
          <t>Jenis hook (wajib ada di setiap video)</t>
        </is>
      </c>
    </row>
    <row r="19" ht="34" customHeight="1">
      <c r="A19" s="3" t="inlineStr"/>
      <c r="B19" s="3" t="inlineStr">
        <is>
          <t>Jenis</t>
        </is>
      </c>
      <c r="C19" s="3" t="inlineStr">
        <is>
          <t>Cara kerja</t>
        </is>
      </c>
      <c r="D19" s="3" t="inlineStr">
        <is>
          <t>Contoh</t>
        </is>
      </c>
      <c r="E19" s="3" t="inlineStr"/>
      <c r="F19" s="3" t="inlineStr"/>
    </row>
    <row r="20" ht="40" customHeight="1">
      <c r="A20" s="5" t="inlineStr"/>
      <c r="B20" s="11" t="inlineStr">
        <is>
          <t>Reverse psychology</t>
        </is>
      </c>
      <c r="C20" s="5" t="inlineStr">
        <is>
          <t>Melarang/menantang penonton supaya penasaran.</t>
        </is>
      </c>
      <c r="D20" s="5" t="inlineStr">
        <is>
          <t>"Jangan tonton video ini… kalau perusahaanmu tidak menyimpan data pelanggan." (Unggulan) · "Jangan cek skor kepatuhanmu…" (M02)</t>
        </is>
      </c>
      <c r="E20" s="6" t="n"/>
      <c r="F20" s="7" t="n"/>
    </row>
    <row r="21" ht="40" customHeight="1">
      <c r="A21" s="5" t="inlineStr"/>
      <c r="B21" s="11" t="inlineStr">
        <is>
          <t>Relate</t>
        </is>
      </c>
      <c r="C21" s="5" t="inlineStr">
        <is>
          <t>Situasi yang langsung dikenali target, bikin "ini gue banget".</t>
        </is>
      </c>
      <c r="D21" s="5" t="inlineStr">
        <is>
          <t>"Siapa yang punya RoPA_final_revisi3_FIX.xlsx?" (M04) · "Email paling ditakuti CS" (M07)</t>
        </is>
      </c>
      <c r="E21" s="6" t="n"/>
      <c r="F21" s="7" t="n"/>
    </row>
    <row r="22" ht="40" customHeight="1">
      <c r="A22" s="5" t="inlineStr"/>
      <c r="B22" s="11" t="inlineStr">
        <is>
          <t>Anomali</t>
        </is>
      </c>
      <c r="C22" s="5" t="inlineStr">
        <is>
          <t>Fakta/visual janggal yang menghentikan scroll.</t>
        </is>
      </c>
      <c r="D22" s="5" t="inlineStr">
        <is>
          <t>"Pengguna paling setia aplikasimu mungkin masih kelas 5 SD." (M09) · "12 anak usaha, 12 definisi patuh" (M21)</t>
        </is>
      </c>
      <c r="E22" s="6" t="n"/>
      <c r="F22" s="7" t="n"/>
    </row>
    <row r="23" ht="40" customHeight="1">
      <c r="A23" s="5" t="inlineStr"/>
      <c r="B23" s="11" t="inlineStr">
        <is>
          <t>Logika dipatahkan</t>
        </is>
      </c>
      <c r="C23" s="5" t="inlineStr">
        <is>
          <t>Membantah anggapan umum dengan kalimat pendek.</t>
        </is>
      </c>
      <c r="D23" s="5" t="inlineStr">
        <is>
          <t>"Laporan terbaik bukan yang paling tebal." (M01) · "Kontrak diteken ≠ data aman." (M17)</t>
        </is>
      </c>
      <c r="E23" s="6" t="n"/>
      <c r="F23" s="7" t="n"/>
    </row>
    <row r="25">
      <c r="A25" s="15" t="inlineStr">
        <is>
          <t>KPI untuk memvalidasi skor (uji 2–3 varian/minggu, dorong yang terbaik dengan anggaran kecil)</t>
        </is>
      </c>
    </row>
    <row r="26" ht="30" customHeight="1">
      <c r="B26" s="15" t="inlineStr">
        <is>
          <t>Awareness</t>
        </is>
      </c>
      <c r="C26" s="2" t="inlineStr">
        <is>
          <t>3-second view rate, rata-rata durasi tonton, completion rate, jangkauan unik</t>
        </is>
      </c>
    </row>
    <row r="27" ht="30" customHeight="1">
      <c r="B27" s="15" t="inlineStr">
        <is>
          <t>Share</t>
        </is>
      </c>
      <c r="C27" s="2" t="inlineStr">
        <is>
          <t>Share &amp; save per 1.000 view, komentar yang men-tag orang lain</t>
        </is>
      </c>
    </row>
    <row r="28" ht="30" customHeight="1">
      <c r="B28" s="15" t="inlineStr">
        <is>
          <t>Convert</t>
        </is>
      </c>
      <c r="C28" s="2" t="inlineStr">
        <is>
          <t>CTR ke privasimu.com, Start Pre Check / permintaan demo / konsultasi, biaya per lead</t>
        </is>
      </c>
    </row>
    <row r="29" ht="30" customHeight="1">
      <c r="B29" s="15" t="inlineStr">
        <is>
          <t>Keputusan</t>
        </is>
      </c>
      <c r="C29" s="2" t="inlineStr">
        <is>
          <t>Awareness &amp; share tertinggi → organik &amp; boost jangkauan; convert tertinggi → iklan berbayar ke pengambil keputusan (LinkedIn/Meta)</t>
        </is>
      </c>
    </row>
  </sheetData>
  <mergeCells count="15">
    <mergeCell ref="C13:F13"/>
    <mergeCell ref="A2:F2"/>
    <mergeCell ref="D23:F23"/>
    <mergeCell ref="C26:F26"/>
    <mergeCell ref="C12:F12"/>
    <mergeCell ref="D22:F22"/>
    <mergeCell ref="C27:F27"/>
    <mergeCell ref="C29:F29"/>
    <mergeCell ref="C16:F16"/>
    <mergeCell ref="C15:F15"/>
    <mergeCell ref="C11:F11"/>
    <mergeCell ref="C28:F28"/>
    <mergeCell ref="D21:F21"/>
    <mergeCell ref="D20:F20"/>
    <mergeCell ref="C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2026-09-30T11:50:53Z</dcterms:created>
  <dcterms:modified xmlns:dcterms="http://purl.org/dc/terms/" xmlns:xsi="http://www.w3.org/2001/XMLSchema-instance" xsi:type="dcterms:W3CDTF">2026-09-30T11:50:54Z</dcterms:modified>
</cp:coreProperties>
</file>